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7470" windowHeight="2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1" i="1" l="1"/>
  <c r="M34" i="1"/>
  <c r="M42" i="1"/>
  <c r="M50" i="1"/>
  <c r="M58" i="1"/>
  <c r="M66" i="1"/>
  <c r="M74" i="1"/>
  <c r="M82" i="1"/>
  <c r="M90" i="1"/>
  <c r="M98" i="1"/>
  <c r="M106" i="1"/>
  <c r="M114" i="1"/>
  <c r="M122" i="1"/>
  <c r="M130" i="1"/>
  <c r="M138" i="1"/>
  <c r="M146" i="1"/>
  <c r="M154" i="1"/>
  <c r="M162" i="1"/>
  <c r="M170" i="1"/>
  <c r="M178" i="1"/>
  <c r="M186" i="1"/>
  <c r="M194" i="1"/>
  <c r="M202" i="1"/>
  <c r="M210" i="1"/>
  <c r="M218" i="1"/>
  <c r="M226" i="1"/>
  <c r="M234" i="1"/>
  <c r="M242" i="1"/>
  <c r="M250" i="1"/>
  <c r="M258" i="1"/>
  <c r="M266" i="1"/>
  <c r="M274" i="1"/>
  <c r="M282" i="1"/>
  <c r="M290" i="1"/>
  <c r="M298" i="1"/>
  <c r="M306" i="1"/>
  <c r="M314" i="1"/>
  <c r="M322" i="1"/>
  <c r="M330" i="1"/>
  <c r="M338" i="1"/>
  <c r="M346" i="1"/>
  <c r="M354" i="1"/>
  <c r="M362" i="1"/>
  <c r="M370" i="1"/>
  <c r="M378" i="1"/>
  <c r="M386" i="1"/>
  <c r="M394" i="1"/>
  <c r="M402" i="1"/>
  <c r="M410" i="1"/>
  <c r="M418" i="1"/>
  <c r="M426" i="1"/>
  <c r="M434" i="1"/>
  <c r="M442" i="1"/>
  <c r="M450" i="1"/>
  <c r="M458" i="1"/>
  <c r="M466" i="1"/>
  <c r="M474" i="1"/>
  <c r="M482" i="1"/>
  <c r="M490" i="1"/>
  <c r="M498" i="1"/>
  <c r="M506" i="1"/>
  <c r="M514" i="1"/>
  <c r="M522" i="1"/>
  <c r="M530" i="1"/>
  <c r="M538" i="1"/>
  <c r="M546" i="1"/>
  <c r="M554" i="1"/>
  <c r="M562" i="1"/>
  <c r="M570" i="1"/>
  <c r="M578" i="1"/>
  <c r="M586" i="1"/>
  <c r="M594" i="1"/>
  <c r="M602" i="1"/>
  <c r="M610" i="1"/>
  <c r="M618" i="1"/>
  <c r="M626" i="1"/>
  <c r="M634" i="1"/>
  <c r="M642" i="1"/>
  <c r="M650" i="1"/>
  <c r="M654" i="1"/>
  <c r="M658" i="1"/>
  <c r="M662" i="1"/>
  <c r="M666" i="1"/>
  <c r="M670" i="1"/>
  <c r="M674" i="1"/>
  <c r="M678" i="1"/>
  <c r="M682" i="1"/>
  <c r="M686" i="1"/>
  <c r="M690" i="1"/>
  <c r="M694" i="1"/>
  <c r="M698" i="1"/>
  <c r="M702" i="1"/>
  <c r="M706" i="1"/>
  <c r="M710" i="1"/>
  <c r="M714" i="1"/>
  <c r="M718" i="1"/>
  <c r="M722" i="1"/>
  <c r="M726" i="1"/>
  <c r="M730" i="1"/>
  <c r="M6" i="1"/>
  <c r="M10" i="1"/>
  <c r="M14" i="1"/>
  <c r="K2" i="1"/>
  <c r="Q2" i="1" s="1"/>
  <c r="K5" i="1"/>
  <c r="Q5" i="1" s="1"/>
  <c r="K6" i="1"/>
  <c r="Q6" i="1" s="1"/>
  <c r="K7" i="1"/>
  <c r="Q7" i="1" s="1"/>
  <c r="K8" i="1"/>
  <c r="Q8" i="1" s="1"/>
  <c r="K9" i="1"/>
  <c r="Q9" i="1" s="1"/>
  <c r="K10" i="1"/>
  <c r="Q10" i="1" s="1"/>
  <c r="K11" i="1"/>
  <c r="Q11" i="1" s="1"/>
  <c r="K12" i="1"/>
  <c r="Q12" i="1" s="1"/>
  <c r="K13" i="1"/>
  <c r="Q13" i="1" s="1"/>
  <c r="K14" i="1"/>
  <c r="Q14" i="1" s="1"/>
  <c r="K15" i="1"/>
  <c r="Q15" i="1" s="1"/>
  <c r="K16" i="1"/>
  <c r="K17" i="1"/>
  <c r="Q17" i="1" s="1"/>
  <c r="K18" i="1"/>
  <c r="K19" i="1"/>
  <c r="K20" i="1"/>
  <c r="K21" i="1"/>
  <c r="Q21" i="1" s="1"/>
  <c r="K22" i="1"/>
  <c r="K23" i="1"/>
  <c r="K24" i="1"/>
  <c r="K25" i="1"/>
  <c r="Q25" i="1" s="1"/>
  <c r="K26" i="1"/>
  <c r="K27" i="1"/>
  <c r="K28" i="1"/>
  <c r="K29" i="1"/>
  <c r="Q29" i="1" s="1"/>
  <c r="K30" i="1"/>
  <c r="K31" i="1"/>
  <c r="K32" i="1"/>
  <c r="K33" i="1"/>
  <c r="Q33" i="1" s="1"/>
  <c r="K34" i="1"/>
  <c r="Q34" i="1" s="1"/>
  <c r="K35" i="1"/>
  <c r="K36" i="1"/>
  <c r="K37" i="1"/>
  <c r="Q37" i="1" s="1"/>
  <c r="K38" i="1"/>
  <c r="Q38" i="1" s="1"/>
  <c r="K39" i="1"/>
  <c r="K40" i="1"/>
  <c r="K41" i="1"/>
  <c r="Q41" i="1" s="1"/>
  <c r="K42" i="1"/>
  <c r="Q42" i="1" s="1"/>
  <c r="K43" i="1"/>
  <c r="K44" i="1"/>
  <c r="K45" i="1"/>
  <c r="Q45" i="1" s="1"/>
  <c r="K46" i="1"/>
  <c r="Q46" i="1" s="1"/>
  <c r="K47" i="1"/>
  <c r="K48" i="1"/>
  <c r="K49" i="1"/>
  <c r="Q49" i="1" s="1"/>
  <c r="K50" i="1"/>
  <c r="Q50" i="1" s="1"/>
  <c r="K51" i="1"/>
  <c r="K52" i="1"/>
  <c r="K53" i="1"/>
  <c r="Q53" i="1" s="1"/>
  <c r="K54" i="1"/>
  <c r="Q54" i="1" s="1"/>
  <c r="K55" i="1"/>
  <c r="K56" i="1"/>
  <c r="K57" i="1"/>
  <c r="Q57" i="1" s="1"/>
  <c r="K58" i="1"/>
  <c r="Q58" i="1" s="1"/>
  <c r="K59" i="1"/>
  <c r="K60" i="1"/>
  <c r="K61" i="1"/>
  <c r="Q61" i="1" s="1"/>
  <c r="K62" i="1"/>
  <c r="Q62" i="1" s="1"/>
  <c r="K63" i="1"/>
  <c r="K64" i="1"/>
  <c r="K65" i="1"/>
  <c r="Q65" i="1" s="1"/>
  <c r="K66" i="1"/>
  <c r="Q66" i="1" s="1"/>
  <c r="K67" i="1"/>
  <c r="K68" i="1"/>
  <c r="K69" i="1"/>
  <c r="Q69" i="1" s="1"/>
  <c r="K70" i="1"/>
  <c r="Q70" i="1" s="1"/>
  <c r="K71" i="1"/>
  <c r="K72" i="1"/>
  <c r="K73" i="1"/>
  <c r="Q73" i="1" s="1"/>
  <c r="K74" i="1"/>
  <c r="Q74" i="1" s="1"/>
  <c r="K75" i="1"/>
  <c r="K76" i="1"/>
  <c r="K77" i="1"/>
  <c r="Q77" i="1" s="1"/>
  <c r="K78" i="1"/>
  <c r="Q78" i="1" s="1"/>
  <c r="K79" i="1"/>
  <c r="K80" i="1"/>
  <c r="K81" i="1"/>
  <c r="Q81" i="1" s="1"/>
  <c r="K82" i="1"/>
  <c r="Q82" i="1" s="1"/>
  <c r="K83" i="1"/>
  <c r="K84" i="1"/>
  <c r="K85" i="1"/>
  <c r="Q85" i="1" s="1"/>
  <c r="K86" i="1"/>
  <c r="Q86" i="1" s="1"/>
  <c r="K87" i="1"/>
  <c r="K88" i="1"/>
  <c r="K89" i="1"/>
  <c r="Q89" i="1" s="1"/>
  <c r="K90" i="1"/>
  <c r="Q90" i="1" s="1"/>
  <c r="K91" i="1"/>
  <c r="K92" i="1"/>
  <c r="K93" i="1"/>
  <c r="Q93" i="1" s="1"/>
  <c r="K94" i="1"/>
  <c r="Q94" i="1" s="1"/>
  <c r="K95" i="1"/>
  <c r="K96" i="1"/>
  <c r="K97" i="1"/>
  <c r="Q97" i="1" s="1"/>
  <c r="K98" i="1"/>
  <c r="Q98" i="1" s="1"/>
  <c r="K99" i="1"/>
  <c r="K100" i="1"/>
  <c r="K101" i="1"/>
  <c r="Q101" i="1" s="1"/>
  <c r="K102" i="1"/>
  <c r="Q102" i="1" s="1"/>
  <c r="K103" i="1"/>
  <c r="K104" i="1"/>
  <c r="K105" i="1"/>
  <c r="Q105" i="1" s="1"/>
  <c r="K106" i="1"/>
  <c r="Q106" i="1" s="1"/>
  <c r="K107" i="1"/>
  <c r="K108" i="1"/>
  <c r="K109" i="1"/>
  <c r="Q109" i="1" s="1"/>
  <c r="K110" i="1"/>
  <c r="Q110" i="1" s="1"/>
  <c r="K111" i="1"/>
  <c r="K112" i="1"/>
  <c r="K113" i="1"/>
  <c r="Q113" i="1" s="1"/>
  <c r="K114" i="1"/>
  <c r="Q114" i="1" s="1"/>
  <c r="K115" i="1"/>
  <c r="K116" i="1"/>
  <c r="K117" i="1"/>
  <c r="Q117" i="1" s="1"/>
  <c r="K118" i="1"/>
  <c r="Q118" i="1" s="1"/>
  <c r="K119" i="1"/>
  <c r="K120" i="1"/>
  <c r="K121" i="1"/>
  <c r="Q121" i="1" s="1"/>
  <c r="K122" i="1"/>
  <c r="Q122" i="1" s="1"/>
  <c r="K123" i="1"/>
  <c r="K124" i="1"/>
  <c r="K125" i="1"/>
  <c r="Q125" i="1" s="1"/>
  <c r="K126" i="1"/>
  <c r="Q126" i="1" s="1"/>
  <c r="K127" i="1"/>
  <c r="K128" i="1"/>
  <c r="K129" i="1"/>
  <c r="Q129" i="1" s="1"/>
  <c r="K130" i="1"/>
  <c r="Q130" i="1" s="1"/>
  <c r="K131" i="1"/>
  <c r="K132" i="1"/>
  <c r="K133" i="1"/>
  <c r="Q133" i="1" s="1"/>
  <c r="K134" i="1"/>
  <c r="Q134" i="1" s="1"/>
  <c r="K135" i="1"/>
  <c r="K136" i="1"/>
  <c r="K137" i="1"/>
  <c r="Q137" i="1" s="1"/>
  <c r="K138" i="1"/>
  <c r="Q138" i="1" s="1"/>
  <c r="K139" i="1"/>
  <c r="K140" i="1"/>
  <c r="K141" i="1"/>
  <c r="Q141" i="1" s="1"/>
  <c r="K142" i="1"/>
  <c r="Q142" i="1" s="1"/>
  <c r="K143" i="1"/>
  <c r="K144" i="1"/>
  <c r="K145" i="1"/>
  <c r="Q145" i="1" s="1"/>
  <c r="K146" i="1"/>
  <c r="Q146" i="1" s="1"/>
  <c r="K147" i="1"/>
  <c r="K148" i="1"/>
  <c r="K149" i="1"/>
  <c r="Q149" i="1" s="1"/>
  <c r="K150" i="1"/>
  <c r="Q150" i="1" s="1"/>
  <c r="K151" i="1"/>
  <c r="K152" i="1"/>
  <c r="K153" i="1"/>
  <c r="Q153" i="1" s="1"/>
  <c r="K154" i="1"/>
  <c r="Q154" i="1" s="1"/>
  <c r="K155" i="1"/>
  <c r="K156" i="1"/>
  <c r="K157" i="1"/>
  <c r="Q157" i="1" s="1"/>
  <c r="K158" i="1"/>
  <c r="Q158" i="1" s="1"/>
  <c r="K159" i="1"/>
  <c r="K160" i="1"/>
  <c r="K161" i="1"/>
  <c r="Q161" i="1" s="1"/>
  <c r="K162" i="1"/>
  <c r="Q162" i="1" s="1"/>
  <c r="K163" i="1"/>
  <c r="K164" i="1"/>
  <c r="K165" i="1"/>
  <c r="Q165" i="1" s="1"/>
  <c r="K166" i="1"/>
  <c r="Q166" i="1" s="1"/>
  <c r="K167" i="1"/>
  <c r="K168" i="1"/>
  <c r="K169" i="1"/>
  <c r="Q169" i="1" s="1"/>
  <c r="K170" i="1"/>
  <c r="Q170" i="1" s="1"/>
  <c r="K171" i="1"/>
  <c r="K172" i="1"/>
  <c r="K173" i="1"/>
  <c r="Q173" i="1" s="1"/>
  <c r="K174" i="1"/>
  <c r="Q174" i="1" s="1"/>
  <c r="K175" i="1"/>
  <c r="K176" i="1"/>
  <c r="K177" i="1"/>
  <c r="Q177" i="1" s="1"/>
  <c r="K178" i="1"/>
  <c r="Q178" i="1" s="1"/>
  <c r="K179" i="1"/>
  <c r="K180" i="1"/>
  <c r="K181" i="1"/>
  <c r="Q181" i="1" s="1"/>
  <c r="K182" i="1"/>
  <c r="Q182" i="1" s="1"/>
  <c r="K183" i="1"/>
  <c r="K184" i="1"/>
  <c r="K185" i="1"/>
  <c r="Q185" i="1" s="1"/>
  <c r="K186" i="1"/>
  <c r="Q186" i="1" s="1"/>
  <c r="K187" i="1"/>
  <c r="K188" i="1"/>
  <c r="K189" i="1"/>
  <c r="Q189" i="1" s="1"/>
  <c r="K190" i="1"/>
  <c r="Q190" i="1" s="1"/>
  <c r="K191" i="1"/>
  <c r="K192" i="1"/>
  <c r="K193" i="1"/>
  <c r="Q193" i="1" s="1"/>
  <c r="K194" i="1"/>
  <c r="Q194" i="1" s="1"/>
  <c r="K195" i="1"/>
  <c r="K196" i="1"/>
  <c r="K197" i="1"/>
  <c r="Q197" i="1" s="1"/>
  <c r="K198" i="1"/>
  <c r="Q198" i="1" s="1"/>
  <c r="K199" i="1"/>
  <c r="K200" i="1"/>
  <c r="K201" i="1"/>
  <c r="Q201" i="1" s="1"/>
  <c r="K202" i="1"/>
  <c r="Q202" i="1" s="1"/>
  <c r="K203" i="1"/>
  <c r="K204" i="1"/>
  <c r="K205" i="1"/>
  <c r="Q205" i="1" s="1"/>
  <c r="K206" i="1"/>
  <c r="Q206" i="1" s="1"/>
  <c r="K207" i="1"/>
  <c r="K208" i="1"/>
  <c r="K209" i="1"/>
  <c r="Q209" i="1" s="1"/>
  <c r="K210" i="1"/>
  <c r="Q210" i="1" s="1"/>
  <c r="K211" i="1"/>
  <c r="K212" i="1"/>
  <c r="K213" i="1"/>
  <c r="Q213" i="1" s="1"/>
  <c r="K214" i="1"/>
  <c r="Q214" i="1" s="1"/>
  <c r="K215" i="1"/>
  <c r="K216" i="1"/>
  <c r="K217" i="1"/>
  <c r="Q217" i="1" s="1"/>
  <c r="K218" i="1"/>
  <c r="Q218" i="1" s="1"/>
  <c r="K219" i="1"/>
  <c r="K220" i="1"/>
  <c r="K221" i="1"/>
  <c r="Q221" i="1" s="1"/>
  <c r="K222" i="1"/>
  <c r="Q222" i="1" s="1"/>
  <c r="K223" i="1"/>
  <c r="K224" i="1"/>
  <c r="K225" i="1"/>
  <c r="Q225" i="1" s="1"/>
  <c r="K226" i="1"/>
  <c r="Q226" i="1" s="1"/>
  <c r="K227" i="1"/>
  <c r="K228" i="1"/>
  <c r="K229" i="1"/>
  <c r="Q229" i="1" s="1"/>
  <c r="K230" i="1"/>
  <c r="Q230" i="1" s="1"/>
  <c r="K231" i="1"/>
  <c r="K232" i="1"/>
  <c r="K233" i="1"/>
  <c r="Q233" i="1" s="1"/>
  <c r="K234" i="1"/>
  <c r="Q234" i="1" s="1"/>
  <c r="K235" i="1"/>
  <c r="K236" i="1"/>
  <c r="K237" i="1"/>
  <c r="Q237" i="1" s="1"/>
  <c r="K238" i="1"/>
  <c r="Q238" i="1" s="1"/>
  <c r="K239" i="1"/>
  <c r="K240" i="1"/>
  <c r="K241" i="1"/>
  <c r="Q241" i="1" s="1"/>
  <c r="K242" i="1"/>
  <c r="Q242" i="1" s="1"/>
  <c r="K243" i="1"/>
  <c r="K244" i="1"/>
  <c r="K245" i="1"/>
  <c r="Q245" i="1" s="1"/>
  <c r="K246" i="1"/>
  <c r="Q246" i="1" s="1"/>
  <c r="K247" i="1"/>
  <c r="K248" i="1"/>
  <c r="K249" i="1"/>
  <c r="Q249" i="1" s="1"/>
  <c r="K250" i="1"/>
  <c r="Q250" i="1" s="1"/>
  <c r="K251" i="1"/>
  <c r="K252" i="1"/>
  <c r="K253" i="1"/>
  <c r="Q253" i="1" s="1"/>
  <c r="K254" i="1"/>
  <c r="Q254" i="1" s="1"/>
  <c r="K255" i="1"/>
  <c r="K256" i="1"/>
  <c r="K257" i="1"/>
  <c r="Q257" i="1" s="1"/>
  <c r="K258" i="1"/>
  <c r="Q258" i="1" s="1"/>
  <c r="K259" i="1"/>
  <c r="K260" i="1"/>
  <c r="K261" i="1"/>
  <c r="Q261" i="1" s="1"/>
  <c r="K262" i="1"/>
  <c r="Q262" i="1" s="1"/>
  <c r="K263" i="1"/>
  <c r="K264" i="1"/>
  <c r="K265" i="1"/>
  <c r="Q265" i="1" s="1"/>
  <c r="K266" i="1"/>
  <c r="Q266" i="1" s="1"/>
  <c r="K267" i="1"/>
  <c r="K268" i="1"/>
  <c r="K269" i="1"/>
  <c r="Q269" i="1" s="1"/>
  <c r="K270" i="1"/>
  <c r="Q270" i="1" s="1"/>
  <c r="K271" i="1"/>
  <c r="K272" i="1"/>
  <c r="K273" i="1"/>
  <c r="Q273" i="1" s="1"/>
  <c r="K274" i="1"/>
  <c r="Q274" i="1" s="1"/>
  <c r="K275" i="1"/>
  <c r="K276" i="1"/>
  <c r="K277" i="1"/>
  <c r="Q277" i="1" s="1"/>
  <c r="K278" i="1"/>
  <c r="Q278" i="1" s="1"/>
  <c r="K279" i="1"/>
  <c r="K280" i="1"/>
  <c r="K281" i="1"/>
  <c r="Q281" i="1" s="1"/>
  <c r="K282" i="1"/>
  <c r="Q282" i="1" s="1"/>
  <c r="K283" i="1"/>
  <c r="K284" i="1"/>
  <c r="K285" i="1"/>
  <c r="Q285" i="1" s="1"/>
  <c r="K286" i="1"/>
  <c r="Q286" i="1" s="1"/>
  <c r="K287" i="1"/>
  <c r="K288" i="1"/>
  <c r="K289" i="1"/>
  <c r="Q289" i="1" s="1"/>
  <c r="K290" i="1"/>
  <c r="Q290" i="1" s="1"/>
  <c r="K291" i="1"/>
  <c r="K292" i="1"/>
  <c r="K293" i="1"/>
  <c r="Q293" i="1" s="1"/>
  <c r="K294" i="1"/>
  <c r="Q294" i="1" s="1"/>
  <c r="K295" i="1"/>
  <c r="K296" i="1"/>
  <c r="K297" i="1"/>
  <c r="Q297" i="1" s="1"/>
  <c r="K298" i="1"/>
  <c r="Q298" i="1" s="1"/>
  <c r="K299" i="1"/>
  <c r="K300" i="1"/>
  <c r="K301" i="1"/>
  <c r="Q301" i="1" s="1"/>
  <c r="K302" i="1"/>
  <c r="Q302" i="1" s="1"/>
  <c r="K303" i="1"/>
  <c r="K304" i="1"/>
  <c r="K305" i="1"/>
  <c r="Q305" i="1" s="1"/>
  <c r="K306" i="1"/>
  <c r="Q306" i="1" s="1"/>
  <c r="K307" i="1"/>
  <c r="K308" i="1"/>
  <c r="K309" i="1"/>
  <c r="Q309" i="1" s="1"/>
  <c r="K310" i="1"/>
  <c r="Q310" i="1" s="1"/>
  <c r="K311" i="1"/>
  <c r="K312" i="1"/>
  <c r="K313" i="1"/>
  <c r="Q313" i="1" s="1"/>
  <c r="K314" i="1"/>
  <c r="Q314" i="1" s="1"/>
  <c r="K315" i="1"/>
  <c r="K316" i="1"/>
  <c r="K317" i="1"/>
  <c r="Q317" i="1" s="1"/>
  <c r="K318" i="1"/>
  <c r="Q318" i="1" s="1"/>
  <c r="K319" i="1"/>
  <c r="K320" i="1"/>
  <c r="K321" i="1"/>
  <c r="Q321" i="1" s="1"/>
  <c r="K322" i="1"/>
  <c r="Q322" i="1" s="1"/>
  <c r="K323" i="1"/>
  <c r="K324" i="1"/>
  <c r="K325" i="1"/>
  <c r="Q325" i="1" s="1"/>
  <c r="K326" i="1"/>
  <c r="Q326" i="1" s="1"/>
  <c r="K327" i="1"/>
  <c r="K328" i="1"/>
  <c r="K329" i="1"/>
  <c r="Q329" i="1" s="1"/>
  <c r="K330" i="1"/>
  <c r="Q330" i="1" s="1"/>
  <c r="K331" i="1"/>
  <c r="K332" i="1"/>
  <c r="K333" i="1"/>
  <c r="Q333" i="1" s="1"/>
  <c r="K334" i="1"/>
  <c r="Q334" i="1" s="1"/>
  <c r="K335" i="1"/>
  <c r="K336" i="1"/>
  <c r="K337" i="1"/>
  <c r="Q337" i="1" s="1"/>
  <c r="K338" i="1"/>
  <c r="Q338" i="1" s="1"/>
  <c r="K339" i="1"/>
  <c r="K340" i="1"/>
  <c r="K341" i="1"/>
  <c r="Q341" i="1" s="1"/>
  <c r="K342" i="1"/>
  <c r="Q342" i="1" s="1"/>
  <c r="K343" i="1"/>
  <c r="K344" i="1"/>
  <c r="K345" i="1"/>
  <c r="Q345" i="1" s="1"/>
  <c r="K346" i="1"/>
  <c r="Q346" i="1" s="1"/>
  <c r="K347" i="1"/>
  <c r="K348" i="1"/>
  <c r="K349" i="1"/>
  <c r="Q349" i="1" s="1"/>
  <c r="K350" i="1"/>
  <c r="Q350" i="1" s="1"/>
  <c r="K351" i="1"/>
  <c r="K352" i="1"/>
  <c r="K353" i="1"/>
  <c r="Q353" i="1" s="1"/>
  <c r="K354" i="1"/>
  <c r="Q354" i="1" s="1"/>
  <c r="K355" i="1"/>
  <c r="K356" i="1"/>
  <c r="K357" i="1"/>
  <c r="Q357" i="1" s="1"/>
  <c r="K358" i="1"/>
  <c r="Q358" i="1" s="1"/>
  <c r="K359" i="1"/>
  <c r="K360" i="1"/>
  <c r="K361" i="1"/>
  <c r="Q361" i="1" s="1"/>
  <c r="K362" i="1"/>
  <c r="Q362" i="1" s="1"/>
  <c r="K363" i="1"/>
  <c r="K364" i="1"/>
  <c r="K365" i="1"/>
  <c r="Q365" i="1" s="1"/>
  <c r="K366" i="1"/>
  <c r="Q366" i="1" s="1"/>
  <c r="K367" i="1"/>
  <c r="K368" i="1"/>
  <c r="K369" i="1"/>
  <c r="Q369" i="1" s="1"/>
  <c r="K370" i="1"/>
  <c r="Q370" i="1" s="1"/>
  <c r="K371" i="1"/>
  <c r="K372" i="1"/>
  <c r="K373" i="1"/>
  <c r="Q373" i="1" s="1"/>
  <c r="K374" i="1"/>
  <c r="Q374" i="1" s="1"/>
  <c r="K375" i="1"/>
  <c r="K376" i="1"/>
  <c r="K377" i="1"/>
  <c r="Q377" i="1" s="1"/>
  <c r="K378" i="1"/>
  <c r="Q378" i="1" s="1"/>
  <c r="K379" i="1"/>
  <c r="K380" i="1"/>
  <c r="K381" i="1"/>
  <c r="Q381" i="1" s="1"/>
  <c r="K382" i="1"/>
  <c r="Q382" i="1" s="1"/>
  <c r="K383" i="1"/>
  <c r="K384" i="1"/>
  <c r="K385" i="1"/>
  <c r="Q385" i="1" s="1"/>
  <c r="K386" i="1"/>
  <c r="Q386" i="1" s="1"/>
  <c r="K387" i="1"/>
  <c r="K388" i="1"/>
  <c r="K389" i="1"/>
  <c r="Q389" i="1" s="1"/>
  <c r="K390" i="1"/>
  <c r="Q390" i="1" s="1"/>
  <c r="K391" i="1"/>
  <c r="K392" i="1"/>
  <c r="K393" i="1"/>
  <c r="Q393" i="1" s="1"/>
  <c r="K394" i="1"/>
  <c r="Q394" i="1" s="1"/>
  <c r="K395" i="1"/>
  <c r="K396" i="1"/>
  <c r="K397" i="1"/>
  <c r="Q397" i="1" s="1"/>
  <c r="K398" i="1"/>
  <c r="Q398" i="1" s="1"/>
  <c r="K399" i="1"/>
  <c r="K400" i="1"/>
  <c r="K401" i="1"/>
  <c r="Q401" i="1" s="1"/>
  <c r="K402" i="1"/>
  <c r="Q402" i="1" s="1"/>
  <c r="K403" i="1"/>
  <c r="K404" i="1"/>
  <c r="K405" i="1"/>
  <c r="Q405" i="1" s="1"/>
  <c r="K406" i="1"/>
  <c r="Q406" i="1" s="1"/>
  <c r="K407" i="1"/>
  <c r="K408" i="1"/>
  <c r="K409" i="1"/>
  <c r="Q409" i="1" s="1"/>
  <c r="K410" i="1"/>
  <c r="Q410" i="1" s="1"/>
  <c r="K411" i="1"/>
  <c r="K412" i="1"/>
  <c r="K413" i="1"/>
  <c r="Q413" i="1" s="1"/>
  <c r="K414" i="1"/>
  <c r="Q414" i="1" s="1"/>
  <c r="K415" i="1"/>
  <c r="K416" i="1"/>
  <c r="K417" i="1"/>
  <c r="Q417" i="1" s="1"/>
  <c r="K418" i="1"/>
  <c r="Q418" i="1" s="1"/>
  <c r="K419" i="1"/>
  <c r="K420" i="1"/>
  <c r="K421" i="1"/>
  <c r="Q421" i="1" s="1"/>
  <c r="K422" i="1"/>
  <c r="Q422" i="1" s="1"/>
  <c r="K423" i="1"/>
  <c r="K424" i="1"/>
  <c r="K425" i="1"/>
  <c r="Q425" i="1" s="1"/>
  <c r="K426" i="1"/>
  <c r="Q426" i="1" s="1"/>
  <c r="K427" i="1"/>
  <c r="K428" i="1"/>
  <c r="K429" i="1"/>
  <c r="Q429" i="1" s="1"/>
  <c r="K430" i="1"/>
  <c r="Q430" i="1" s="1"/>
  <c r="K431" i="1"/>
  <c r="K432" i="1"/>
  <c r="K433" i="1"/>
  <c r="Q433" i="1" s="1"/>
  <c r="K434" i="1"/>
  <c r="Q434" i="1" s="1"/>
  <c r="K435" i="1"/>
  <c r="K436" i="1"/>
  <c r="K437" i="1"/>
  <c r="Q437" i="1" s="1"/>
  <c r="K438" i="1"/>
  <c r="Q438" i="1" s="1"/>
  <c r="K439" i="1"/>
  <c r="K440" i="1"/>
  <c r="K441" i="1"/>
  <c r="Q441" i="1" s="1"/>
  <c r="K442" i="1"/>
  <c r="Q442" i="1" s="1"/>
  <c r="K443" i="1"/>
  <c r="K444" i="1"/>
  <c r="K445" i="1"/>
  <c r="Q445" i="1" s="1"/>
  <c r="K446" i="1"/>
  <c r="Q446" i="1" s="1"/>
  <c r="K447" i="1"/>
  <c r="K448" i="1"/>
  <c r="K449" i="1"/>
  <c r="Q449" i="1" s="1"/>
  <c r="K450" i="1"/>
  <c r="Q450" i="1" s="1"/>
  <c r="K451" i="1"/>
  <c r="K452" i="1"/>
  <c r="K453" i="1"/>
  <c r="Q453" i="1" s="1"/>
  <c r="K454" i="1"/>
  <c r="Q454" i="1" s="1"/>
  <c r="K455" i="1"/>
  <c r="K456" i="1"/>
  <c r="K457" i="1"/>
  <c r="Q457" i="1" s="1"/>
  <c r="K458" i="1"/>
  <c r="Q458" i="1" s="1"/>
  <c r="K459" i="1"/>
  <c r="K460" i="1"/>
  <c r="K461" i="1"/>
  <c r="Q461" i="1" s="1"/>
  <c r="K462" i="1"/>
  <c r="Q462" i="1" s="1"/>
  <c r="K463" i="1"/>
  <c r="K464" i="1"/>
  <c r="K465" i="1"/>
  <c r="Q465" i="1" s="1"/>
  <c r="K466" i="1"/>
  <c r="Q466" i="1" s="1"/>
  <c r="K467" i="1"/>
  <c r="K468" i="1"/>
  <c r="K469" i="1"/>
  <c r="Q469" i="1" s="1"/>
  <c r="K470" i="1"/>
  <c r="Q470" i="1" s="1"/>
  <c r="K471" i="1"/>
  <c r="K472" i="1"/>
  <c r="K473" i="1"/>
  <c r="Q473" i="1" s="1"/>
  <c r="K474" i="1"/>
  <c r="Q474" i="1" s="1"/>
  <c r="K475" i="1"/>
  <c r="K476" i="1"/>
  <c r="K477" i="1"/>
  <c r="Q477" i="1" s="1"/>
  <c r="K478" i="1"/>
  <c r="Q478" i="1" s="1"/>
  <c r="K479" i="1"/>
  <c r="K480" i="1"/>
  <c r="K481" i="1"/>
  <c r="Q481" i="1" s="1"/>
  <c r="K482" i="1"/>
  <c r="Q482" i="1" s="1"/>
  <c r="K483" i="1"/>
  <c r="K484" i="1"/>
  <c r="K485" i="1"/>
  <c r="Q485" i="1" s="1"/>
  <c r="K486" i="1"/>
  <c r="Q486" i="1" s="1"/>
  <c r="K487" i="1"/>
  <c r="K488" i="1"/>
  <c r="K489" i="1"/>
  <c r="Q489" i="1" s="1"/>
  <c r="K490" i="1"/>
  <c r="Q490" i="1" s="1"/>
  <c r="K491" i="1"/>
  <c r="K492" i="1"/>
  <c r="K493" i="1"/>
  <c r="Q493" i="1" s="1"/>
  <c r="K494" i="1"/>
  <c r="Q494" i="1" s="1"/>
  <c r="K495" i="1"/>
  <c r="K496" i="1"/>
  <c r="K497" i="1"/>
  <c r="Q497" i="1" s="1"/>
  <c r="K498" i="1"/>
  <c r="Q498" i="1" s="1"/>
  <c r="K499" i="1"/>
  <c r="K500" i="1"/>
  <c r="K501" i="1"/>
  <c r="Q501" i="1" s="1"/>
  <c r="K502" i="1"/>
  <c r="Q502" i="1" s="1"/>
  <c r="K503" i="1"/>
  <c r="K504" i="1"/>
  <c r="K505" i="1"/>
  <c r="Q505" i="1" s="1"/>
  <c r="K506" i="1"/>
  <c r="Q506" i="1" s="1"/>
  <c r="K507" i="1"/>
  <c r="K508" i="1"/>
  <c r="K509" i="1"/>
  <c r="Q509" i="1" s="1"/>
  <c r="K510" i="1"/>
  <c r="Q510" i="1" s="1"/>
  <c r="K511" i="1"/>
  <c r="K512" i="1"/>
  <c r="K513" i="1"/>
  <c r="Q513" i="1" s="1"/>
  <c r="K514" i="1"/>
  <c r="Q514" i="1" s="1"/>
  <c r="K515" i="1"/>
  <c r="K516" i="1"/>
  <c r="K517" i="1"/>
  <c r="Q517" i="1" s="1"/>
  <c r="K518" i="1"/>
  <c r="Q518" i="1" s="1"/>
  <c r="K519" i="1"/>
  <c r="K520" i="1"/>
  <c r="K521" i="1"/>
  <c r="Q521" i="1" s="1"/>
  <c r="K522" i="1"/>
  <c r="Q522" i="1" s="1"/>
  <c r="K523" i="1"/>
  <c r="K524" i="1"/>
  <c r="K525" i="1"/>
  <c r="Q525" i="1" s="1"/>
  <c r="K526" i="1"/>
  <c r="Q526" i="1" s="1"/>
  <c r="K527" i="1"/>
  <c r="K528" i="1"/>
  <c r="K529" i="1"/>
  <c r="Q529" i="1" s="1"/>
  <c r="K530" i="1"/>
  <c r="Q530" i="1" s="1"/>
  <c r="K531" i="1"/>
  <c r="K532" i="1"/>
  <c r="K533" i="1"/>
  <c r="Q533" i="1" s="1"/>
  <c r="K534" i="1"/>
  <c r="Q534" i="1" s="1"/>
  <c r="K535" i="1"/>
  <c r="K536" i="1"/>
  <c r="K537" i="1"/>
  <c r="Q537" i="1" s="1"/>
  <c r="K538" i="1"/>
  <c r="Q538" i="1" s="1"/>
  <c r="K539" i="1"/>
  <c r="K540" i="1"/>
  <c r="K541" i="1"/>
  <c r="Q541" i="1" s="1"/>
  <c r="K542" i="1"/>
  <c r="Q542" i="1" s="1"/>
  <c r="K543" i="1"/>
  <c r="K544" i="1"/>
  <c r="K545" i="1"/>
  <c r="Q545" i="1" s="1"/>
  <c r="K546" i="1"/>
  <c r="Q546" i="1" s="1"/>
  <c r="K547" i="1"/>
  <c r="K548" i="1"/>
  <c r="K549" i="1"/>
  <c r="Q549" i="1" s="1"/>
  <c r="K550" i="1"/>
  <c r="Q550" i="1" s="1"/>
  <c r="K551" i="1"/>
  <c r="K552" i="1"/>
  <c r="K553" i="1"/>
  <c r="Q553" i="1" s="1"/>
  <c r="K554" i="1"/>
  <c r="Q554" i="1" s="1"/>
  <c r="K555" i="1"/>
  <c r="K556" i="1"/>
  <c r="K557" i="1"/>
  <c r="Q557" i="1" s="1"/>
  <c r="K558" i="1"/>
  <c r="Q558" i="1" s="1"/>
  <c r="K559" i="1"/>
  <c r="K560" i="1"/>
  <c r="K561" i="1"/>
  <c r="Q561" i="1" s="1"/>
  <c r="K562" i="1"/>
  <c r="Q562" i="1" s="1"/>
  <c r="K563" i="1"/>
  <c r="K564" i="1"/>
  <c r="K565" i="1"/>
  <c r="Q565" i="1" s="1"/>
  <c r="K566" i="1"/>
  <c r="Q566" i="1" s="1"/>
  <c r="K567" i="1"/>
  <c r="K568" i="1"/>
  <c r="K569" i="1"/>
  <c r="Q569" i="1" s="1"/>
  <c r="K570" i="1"/>
  <c r="Q570" i="1" s="1"/>
  <c r="K571" i="1"/>
  <c r="K572" i="1"/>
  <c r="K573" i="1"/>
  <c r="Q573" i="1" s="1"/>
  <c r="K574" i="1"/>
  <c r="Q574" i="1" s="1"/>
  <c r="K575" i="1"/>
  <c r="K576" i="1"/>
  <c r="K577" i="1"/>
  <c r="Q577" i="1" s="1"/>
  <c r="K578" i="1"/>
  <c r="Q578" i="1" s="1"/>
  <c r="K579" i="1"/>
  <c r="K580" i="1"/>
  <c r="K581" i="1"/>
  <c r="Q581" i="1" s="1"/>
  <c r="K582" i="1"/>
  <c r="Q582" i="1" s="1"/>
  <c r="K583" i="1"/>
  <c r="K584" i="1"/>
  <c r="K585" i="1"/>
  <c r="Q585" i="1" s="1"/>
  <c r="K586" i="1"/>
  <c r="Q586" i="1" s="1"/>
  <c r="K587" i="1"/>
  <c r="K588" i="1"/>
  <c r="K589" i="1"/>
  <c r="Q589" i="1" s="1"/>
  <c r="K590" i="1"/>
  <c r="Q590" i="1" s="1"/>
  <c r="K591" i="1"/>
  <c r="K592" i="1"/>
  <c r="K593" i="1"/>
  <c r="Q593" i="1" s="1"/>
  <c r="K594" i="1"/>
  <c r="Q594" i="1" s="1"/>
  <c r="K595" i="1"/>
  <c r="K596" i="1"/>
  <c r="K597" i="1"/>
  <c r="Q597" i="1" s="1"/>
  <c r="K598" i="1"/>
  <c r="Q598" i="1" s="1"/>
  <c r="K599" i="1"/>
  <c r="K600" i="1"/>
  <c r="K601" i="1"/>
  <c r="Q601" i="1" s="1"/>
  <c r="K602" i="1"/>
  <c r="Q602" i="1" s="1"/>
  <c r="K603" i="1"/>
  <c r="K604" i="1"/>
  <c r="K605" i="1"/>
  <c r="Q605" i="1" s="1"/>
  <c r="K606" i="1"/>
  <c r="Q606" i="1" s="1"/>
  <c r="K607" i="1"/>
  <c r="K608" i="1"/>
  <c r="K609" i="1"/>
  <c r="Q609" i="1" s="1"/>
  <c r="K610" i="1"/>
  <c r="Q610" i="1" s="1"/>
  <c r="K611" i="1"/>
  <c r="K612" i="1"/>
  <c r="K613" i="1"/>
  <c r="Q613" i="1" s="1"/>
  <c r="K614" i="1"/>
  <c r="Q614" i="1" s="1"/>
  <c r="K615" i="1"/>
  <c r="K616" i="1"/>
  <c r="K617" i="1"/>
  <c r="Q617" i="1" s="1"/>
  <c r="K618" i="1"/>
  <c r="Q618" i="1" s="1"/>
  <c r="K619" i="1"/>
  <c r="K620" i="1"/>
  <c r="K621" i="1"/>
  <c r="Q621" i="1" s="1"/>
  <c r="K622" i="1"/>
  <c r="Q622" i="1" s="1"/>
  <c r="K623" i="1"/>
  <c r="K624" i="1"/>
  <c r="K625" i="1"/>
  <c r="Q625" i="1" s="1"/>
  <c r="K626" i="1"/>
  <c r="Q626" i="1" s="1"/>
  <c r="K627" i="1"/>
  <c r="K628" i="1"/>
  <c r="K629" i="1"/>
  <c r="Q629" i="1" s="1"/>
  <c r="K630" i="1"/>
  <c r="Q630" i="1" s="1"/>
  <c r="K631" i="1"/>
  <c r="K632" i="1"/>
  <c r="K633" i="1"/>
  <c r="Q633" i="1" s="1"/>
  <c r="K634" i="1"/>
  <c r="Q634" i="1" s="1"/>
  <c r="K635" i="1"/>
  <c r="K636" i="1"/>
  <c r="K637" i="1"/>
  <c r="Q637" i="1" s="1"/>
  <c r="K638" i="1"/>
  <c r="Q638" i="1" s="1"/>
  <c r="K639" i="1"/>
  <c r="K640" i="1"/>
  <c r="K641" i="1"/>
  <c r="Q641" i="1" s="1"/>
  <c r="K642" i="1"/>
  <c r="Q642" i="1" s="1"/>
  <c r="K643" i="1"/>
  <c r="K644" i="1"/>
  <c r="K645" i="1"/>
  <c r="Q645" i="1" s="1"/>
  <c r="K646" i="1"/>
  <c r="Q646" i="1" s="1"/>
  <c r="K647" i="1"/>
  <c r="K648" i="1"/>
  <c r="K649" i="1"/>
  <c r="Q649" i="1" s="1"/>
  <c r="K650" i="1"/>
  <c r="Q650" i="1" s="1"/>
  <c r="K651" i="1"/>
  <c r="Q651" i="1" s="1"/>
  <c r="K652" i="1"/>
  <c r="Q652" i="1" s="1"/>
  <c r="K653" i="1"/>
  <c r="Q653" i="1" s="1"/>
  <c r="K654" i="1"/>
  <c r="Q654" i="1" s="1"/>
  <c r="K655" i="1"/>
  <c r="Q655" i="1" s="1"/>
  <c r="K656" i="1"/>
  <c r="Q656" i="1" s="1"/>
  <c r="K657" i="1"/>
  <c r="Q657" i="1" s="1"/>
  <c r="K658" i="1"/>
  <c r="Q658" i="1" s="1"/>
  <c r="K659" i="1"/>
  <c r="Q659" i="1" s="1"/>
  <c r="K660" i="1"/>
  <c r="Q660" i="1" s="1"/>
  <c r="K661" i="1"/>
  <c r="Q661" i="1" s="1"/>
  <c r="K662" i="1"/>
  <c r="Q662" i="1" s="1"/>
  <c r="K663" i="1"/>
  <c r="Q663" i="1" s="1"/>
  <c r="K664" i="1"/>
  <c r="Q664" i="1" s="1"/>
  <c r="K665" i="1"/>
  <c r="Q665" i="1" s="1"/>
  <c r="K666" i="1"/>
  <c r="Q666" i="1" s="1"/>
  <c r="K667" i="1"/>
  <c r="Q667" i="1" s="1"/>
  <c r="K668" i="1"/>
  <c r="Q668" i="1" s="1"/>
  <c r="K669" i="1"/>
  <c r="Q669" i="1" s="1"/>
  <c r="K670" i="1"/>
  <c r="Q670" i="1" s="1"/>
  <c r="K671" i="1"/>
  <c r="Q671" i="1" s="1"/>
  <c r="K672" i="1"/>
  <c r="Q672" i="1" s="1"/>
  <c r="K673" i="1"/>
  <c r="Q673" i="1" s="1"/>
  <c r="K674" i="1"/>
  <c r="Q674" i="1" s="1"/>
  <c r="K675" i="1"/>
  <c r="Q675" i="1" s="1"/>
  <c r="K676" i="1"/>
  <c r="Q676" i="1" s="1"/>
  <c r="K677" i="1"/>
  <c r="Q677" i="1" s="1"/>
  <c r="K678" i="1"/>
  <c r="Q678" i="1" s="1"/>
  <c r="K679" i="1"/>
  <c r="Q679" i="1" s="1"/>
  <c r="K680" i="1"/>
  <c r="Q680" i="1" s="1"/>
  <c r="K681" i="1"/>
  <c r="Q681" i="1" s="1"/>
  <c r="K682" i="1"/>
  <c r="Q682" i="1" s="1"/>
  <c r="K683" i="1"/>
  <c r="Q683" i="1" s="1"/>
  <c r="K684" i="1"/>
  <c r="Q684" i="1" s="1"/>
  <c r="K685" i="1"/>
  <c r="Q685" i="1" s="1"/>
  <c r="K686" i="1"/>
  <c r="Q686" i="1" s="1"/>
  <c r="K687" i="1"/>
  <c r="Q687" i="1" s="1"/>
  <c r="K688" i="1"/>
  <c r="Q688" i="1" s="1"/>
  <c r="K689" i="1"/>
  <c r="Q689" i="1" s="1"/>
  <c r="K690" i="1"/>
  <c r="Q690" i="1" s="1"/>
  <c r="K691" i="1"/>
  <c r="Q691" i="1" s="1"/>
  <c r="K692" i="1"/>
  <c r="Q692" i="1" s="1"/>
  <c r="K693" i="1"/>
  <c r="Q693" i="1" s="1"/>
  <c r="K694" i="1"/>
  <c r="Q694" i="1" s="1"/>
  <c r="K695" i="1"/>
  <c r="Q695" i="1" s="1"/>
  <c r="K696" i="1"/>
  <c r="Q696" i="1" s="1"/>
  <c r="K697" i="1"/>
  <c r="Q697" i="1" s="1"/>
  <c r="K698" i="1"/>
  <c r="Q698" i="1" s="1"/>
  <c r="K699" i="1"/>
  <c r="Q699" i="1" s="1"/>
  <c r="K700" i="1"/>
  <c r="Q700" i="1" s="1"/>
  <c r="K701" i="1"/>
  <c r="Q701" i="1" s="1"/>
  <c r="K702" i="1"/>
  <c r="Q702" i="1" s="1"/>
  <c r="K703" i="1"/>
  <c r="Q703" i="1" s="1"/>
  <c r="K704" i="1"/>
  <c r="Q704" i="1" s="1"/>
  <c r="K705" i="1"/>
  <c r="Q705" i="1" s="1"/>
  <c r="K706" i="1"/>
  <c r="Q706" i="1" s="1"/>
  <c r="K707" i="1"/>
  <c r="Q707" i="1" s="1"/>
  <c r="K708" i="1"/>
  <c r="Q708" i="1" s="1"/>
  <c r="K709" i="1"/>
  <c r="Q709" i="1" s="1"/>
  <c r="K710" i="1"/>
  <c r="Q710" i="1" s="1"/>
  <c r="K711" i="1"/>
  <c r="Q711" i="1" s="1"/>
  <c r="K712" i="1"/>
  <c r="Q712" i="1" s="1"/>
  <c r="K713" i="1"/>
  <c r="Q713" i="1" s="1"/>
  <c r="K714" i="1"/>
  <c r="Q714" i="1" s="1"/>
  <c r="K715" i="1"/>
  <c r="Q715" i="1" s="1"/>
  <c r="K716" i="1"/>
  <c r="Q716" i="1" s="1"/>
  <c r="K717" i="1"/>
  <c r="Q717" i="1" s="1"/>
  <c r="K718" i="1"/>
  <c r="Q718" i="1" s="1"/>
  <c r="K719" i="1"/>
  <c r="Q719" i="1" s="1"/>
  <c r="K720" i="1"/>
  <c r="Q720" i="1" s="1"/>
  <c r="K721" i="1"/>
  <c r="Q721" i="1" s="1"/>
  <c r="K722" i="1"/>
  <c r="Q722" i="1" s="1"/>
  <c r="K723" i="1"/>
  <c r="Q723" i="1" s="1"/>
  <c r="K724" i="1"/>
  <c r="Q724" i="1" s="1"/>
  <c r="K725" i="1"/>
  <c r="Q725" i="1" s="1"/>
  <c r="K726" i="1"/>
  <c r="Q726" i="1" s="1"/>
  <c r="K727" i="1"/>
  <c r="Q727" i="1" s="1"/>
  <c r="K728" i="1"/>
  <c r="Q728" i="1" s="1"/>
  <c r="K729" i="1"/>
  <c r="Q729" i="1" s="1"/>
  <c r="K730" i="1"/>
  <c r="Q730" i="1" s="1"/>
  <c r="K731" i="1"/>
  <c r="Q731" i="1" s="1"/>
  <c r="K4" i="1"/>
  <c r="Q4" i="1" s="1"/>
  <c r="K3" i="1"/>
  <c r="Q3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2" i="1"/>
  <c r="Q648" i="1" l="1"/>
  <c r="M648" i="1"/>
  <c r="Q644" i="1"/>
  <c r="M644" i="1"/>
  <c r="Q640" i="1"/>
  <c r="M640" i="1"/>
  <c r="Q636" i="1"/>
  <c r="M636" i="1"/>
  <c r="Q632" i="1"/>
  <c r="M632" i="1"/>
  <c r="Q628" i="1"/>
  <c r="M628" i="1"/>
  <c r="Q624" i="1"/>
  <c r="M624" i="1"/>
  <c r="Q620" i="1"/>
  <c r="M620" i="1"/>
  <c r="Q616" i="1"/>
  <c r="M616" i="1"/>
  <c r="Q612" i="1"/>
  <c r="M612" i="1"/>
  <c r="Q608" i="1"/>
  <c r="M608" i="1"/>
  <c r="Q604" i="1"/>
  <c r="M604" i="1"/>
  <c r="Q600" i="1"/>
  <c r="M600" i="1"/>
  <c r="Q596" i="1"/>
  <c r="M596" i="1"/>
  <c r="Q592" i="1"/>
  <c r="M592" i="1"/>
  <c r="Q588" i="1"/>
  <c r="M588" i="1"/>
  <c r="Q584" i="1"/>
  <c r="M584" i="1"/>
  <c r="Q580" i="1"/>
  <c r="M580" i="1"/>
  <c r="Q576" i="1"/>
  <c r="M576" i="1"/>
  <c r="Q572" i="1"/>
  <c r="M572" i="1"/>
  <c r="Q568" i="1"/>
  <c r="M568" i="1"/>
  <c r="Q564" i="1"/>
  <c r="M564" i="1"/>
  <c r="Q560" i="1"/>
  <c r="M560" i="1"/>
  <c r="Q556" i="1"/>
  <c r="M556" i="1"/>
  <c r="Q552" i="1"/>
  <c r="M552" i="1"/>
  <c r="Q548" i="1"/>
  <c r="M548" i="1"/>
  <c r="Q544" i="1"/>
  <c r="M544" i="1"/>
  <c r="Q540" i="1"/>
  <c r="M540" i="1"/>
  <c r="Q536" i="1"/>
  <c r="M536" i="1"/>
  <c r="Q532" i="1"/>
  <c r="M532" i="1"/>
  <c r="Q528" i="1"/>
  <c r="M528" i="1"/>
  <c r="Q524" i="1"/>
  <c r="M524" i="1"/>
  <c r="Q520" i="1"/>
  <c r="M520" i="1"/>
  <c r="Q516" i="1"/>
  <c r="M516" i="1"/>
  <c r="Q508" i="1"/>
  <c r="M508" i="1"/>
  <c r="Q496" i="1"/>
  <c r="M496" i="1"/>
  <c r="Q488" i="1"/>
  <c r="M488" i="1"/>
  <c r="Q480" i="1"/>
  <c r="M480" i="1"/>
  <c r="Q476" i="1"/>
  <c r="M476" i="1"/>
  <c r="Q460" i="1"/>
  <c r="M460" i="1"/>
  <c r="Q452" i="1"/>
  <c r="M452" i="1"/>
  <c r="Q432" i="1"/>
  <c r="M432" i="1"/>
  <c r="Q424" i="1"/>
  <c r="M424" i="1"/>
  <c r="Q416" i="1"/>
  <c r="M416" i="1"/>
  <c r="Q412" i="1"/>
  <c r="M412" i="1"/>
  <c r="Q404" i="1"/>
  <c r="M404" i="1"/>
  <c r="Q396" i="1"/>
  <c r="M396" i="1"/>
  <c r="Q388" i="1"/>
  <c r="M388" i="1"/>
  <c r="Q380" i="1"/>
  <c r="M380" i="1"/>
  <c r="Q372" i="1"/>
  <c r="M372" i="1"/>
  <c r="Q364" i="1"/>
  <c r="M364" i="1"/>
  <c r="Q352" i="1"/>
  <c r="M352" i="1"/>
  <c r="Q348" i="1"/>
  <c r="M348" i="1"/>
  <c r="Q340" i="1"/>
  <c r="M340" i="1"/>
  <c r="Q336" i="1"/>
  <c r="M336" i="1"/>
  <c r="Q332" i="1"/>
  <c r="M332" i="1"/>
  <c r="Q320" i="1"/>
  <c r="M320" i="1"/>
  <c r="Q312" i="1"/>
  <c r="M312" i="1"/>
  <c r="Q304" i="1"/>
  <c r="M304" i="1"/>
  <c r="Q296" i="1"/>
  <c r="M296" i="1"/>
  <c r="Q288" i="1"/>
  <c r="M288" i="1"/>
  <c r="Q280" i="1"/>
  <c r="M280" i="1"/>
  <c r="Q272" i="1"/>
  <c r="M272" i="1"/>
  <c r="Q268" i="1"/>
  <c r="M268" i="1"/>
  <c r="Q260" i="1"/>
  <c r="M260" i="1"/>
  <c r="Q252" i="1"/>
  <c r="M252" i="1"/>
  <c r="Q244" i="1"/>
  <c r="M244" i="1"/>
  <c r="Q236" i="1"/>
  <c r="M236" i="1"/>
  <c r="Q228" i="1"/>
  <c r="M228" i="1"/>
  <c r="Q220" i="1"/>
  <c r="M220" i="1"/>
  <c r="Q216" i="1"/>
  <c r="M216" i="1"/>
  <c r="Q204" i="1"/>
  <c r="M204" i="1"/>
  <c r="Q180" i="1"/>
  <c r="M180" i="1"/>
  <c r="P726" i="1"/>
  <c r="N726" i="1"/>
  <c r="O726" i="1" s="1"/>
  <c r="P710" i="1"/>
  <c r="N710" i="1"/>
  <c r="O710" i="1" s="1"/>
  <c r="P694" i="1"/>
  <c r="N694" i="1"/>
  <c r="O694" i="1" s="1"/>
  <c r="P682" i="1"/>
  <c r="N682" i="1"/>
  <c r="O682" i="1" s="1"/>
  <c r="P670" i="1"/>
  <c r="N670" i="1"/>
  <c r="O670" i="1" s="1"/>
  <c r="P654" i="1"/>
  <c r="N654" i="1"/>
  <c r="O654" i="1" s="1"/>
  <c r="P634" i="1"/>
  <c r="N634" i="1"/>
  <c r="O634" i="1" s="1"/>
  <c r="P610" i="1"/>
  <c r="N610" i="1"/>
  <c r="O610" i="1" s="1"/>
  <c r="P602" i="1"/>
  <c r="N602" i="1"/>
  <c r="O602" i="1" s="1"/>
  <c r="P570" i="1"/>
  <c r="N570" i="1"/>
  <c r="O570" i="1" s="1"/>
  <c r="P546" i="1"/>
  <c r="N546" i="1"/>
  <c r="O546" i="1" s="1"/>
  <c r="P530" i="1"/>
  <c r="N530" i="1"/>
  <c r="O530" i="1" s="1"/>
  <c r="P514" i="1"/>
  <c r="N514" i="1"/>
  <c r="O514" i="1" s="1"/>
  <c r="P498" i="1"/>
  <c r="N498" i="1"/>
  <c r="O498" i="1" s="1"/>
  <c r="P474" i="1"/>
  <c r="N474" i="1"/>
  <c r="O474" i="1" s="1"/>
  <c r="P458" i="1"/>
  <c r="N458" i="1"/>
  <c r="O458" i="1" s="1"/>
  <c r="P442" i="1"/>
  <c r="N442" i="1"/>
  <c r="O442" i="1" s="1"/>
  <c r="P434" i="1"/>
  <c r="N434" i="1"/>
  <c r="O434" i="1" s="1"/>
  <c r="P410" i="1"/>
  <c r="N410" i="1"/>
  <c r="O410" i="1" s="1"/>
  <c r="P394" i="1"/>
  <c r="N394" i="1"/>
  <c r="O394" i="1" s="1"/>
  <c r="P378" i="1"/>
  <c r="N378" i="1"/>
  <c r="O378" i="1" s="1"/>
  <c r="P370" i="1"/>
  <c r="N370" i="1"/>
  <c r="O370" i="1" s="1"/>
  <c r="P354" i="1"/>
  <c r="N354" i="1"/>
  <c r="O354" i="1" s="1"/>
  <c r="P330" i="1"/>
  <c r="N330" i="1"/>
  <c r="O330" i="1" s="1"/>
  <c r="P298" i="1"/>
  <c r="N298" i="1"/>
  <c r="O298" i="1" s="1"/>
  <c r="P282" i="1"/>
  <c r="N282" i="1"/>
  <c r="O282" i="1" s="1"/>
  <c r="P266" i="1"/>
  <c r="N266" i="1"/>
  <c r="O266" i="1" s="1"/>
  <c r="P250" i="1"/>
  <c r="N250" i="1"/>
  <c r="O250" i="1" s="1"/>
  <c r="P234" i="1"/>
  <c r="N234" i="1"/>
  <c r="O234" i="1" s="1"/>
  <c r="P218" i="1"/>
  <c r="N218" i="1"/>
  <c r="O218" i="1" s="1"/>
  <c r="P210" i="1"/>
  <c r="N210" i="1"/>
  <c r="O210" i="1" s="1"/>
  <c r="P194" i="1"/>
  <c r="N194" i="1"/>
  <c r="O194" i="1" s="1"/>
  <c r="P170" i="1"/>
  <c r="N170" i="1"/>
  <c r="O170" i="1" s="1"/>
  <c r="P154" i="1"/>
  <c r="N154" i="1"/>
  <c r="O154" i="1" s="1"/>
  <c r="P146" i="1"/>
  <c r="N146" i="1"/>
  <c r="O146" i="1" s="1"/>
  <c r="P130" i="1"/>
  <c r="N130" i="1"/>
  <c r="O130" i="1" s="1"/>
  <c r="P114" i="1"/>
  <c r="N114" i="1"/>
  <c r="O114" i="1" s="1"/>
  <c r="P98" i="1"/>
  <c r="N98" i="1"/>
  <c r="O98" i="1" s="1"/>
  <c r="P74" i="1"/>
  <c r="N74" i="1"/>
  <c r="O74" i="1" s="1"/>
  <c r="P58" i="1"/>
  <c r="N58" i="1"/>
  <c r="O58" i="1" s="1"/>
  <c r="P42" i="1"/>
  <c r="N42" i="1"/>
  <c r="O42" i="1" s="1"/>
  <c r="P34" i="1"/>
  <c r="N34" i="1"/>
  <c r="O34" i="1" s="1"/>
  <c r="Q647" i="1"/>
  <c r="M647" i="1"/>
  <c r="Q643" i="1"/>
  <c r="M643" i="1"/>
  <c r="Q639" i="1"/>
  <c r="M639" i="1"/>
  <c r="Q635" i="1"/>
  <c r="M635" i="1"/>
  <c r="Q631" i="1"/>
  <c r="M631" i="1"/>
  <c r="Q627" i="1"/>
  <c r="M627" i="1"/>
  <c r="Q623" i="1"/>
  <c r="M623" i="1"/>
  <c r="Q619" i="1"/>
  <c r="M619" i="1"/>
  <c r="Q615" i="1"/>
  <c r="M615" i="1"/>
  <c r="Q611" i="1"/>
  <c r="M611" i="1"/>
  <c r="Q607" i="1"/>
  <c r="M607" i="1"/>
  <c r="Q603" i="1"/>
  <c r="M603" i="1"/>
  <c r="Q599" i="1"/>
  <c r="M599" i="1"/>
  <c r="Q595" i="1"/>
  <c r="M595" i="1"/>
  <c r="Q591" i="1"/>
  <c r="M591" i="1"/>
  <c r="Q587" i="1"/>
  <c r="M587" i="1"/>
  <c r="Q583" i="1"/>
  <c r="M583" i="1"/>
  <c r="Q579" i="1"/>
  <c r="M579" i="1"/>
  <c r="Q575" i="1"/>
  <c r="M575" i="1"/>
  <c r="Q571" i="1"/>
  <c r="M571" i="1"/>
  <c r="Q567" i="1"/>
  <c r="M567" i="1"/>
  <c r="Q563" i="1"/>
  <c r="M563" i="1"/>
  <c r="Q559" i="1"/>
  <c r="M559" i="1"/>
  <c r="Q555" i="1"/>
  <c r="M555" i="1"/>
  <c r="Q551" i="1"/>
  <c r="M551" i="1"/>
  <c r="Q547" i="1"/>
  <c r="M547" i="1"/>
  <c r="Q543" i="1"/>
  <c r="M543" i="1"/>
  <c r="Q539" i="1"/>
  <c r="M539" i="1"/>
  <c r="Q535" i="1"/>
  <c r="M535" i="1"/>
  <c r="Q531" i="1"/>
  <c r="M531" i="1"/>
  <c r="Q527" i="1"/>
  <c r="M527" i="1"/>
  <c r="Q523" i="1"/>
  <c r="M523" i="1"/>
  <c r="Q519" i="1"/>
  <c r="M519" i="1"/>
  <c r="Q515" i="1"/>
  <c r="M515" i="1"/>
  <c r="Q511" i="1"/>
  <c r="M511" i="1"/>
  <c r="Q507" i="1"/>
  <c r="M507" i="1"/>
  <c r="Q503" i="1"/>
  <c r="M503" i="1"/>
  <c r="Q499" i="1"/>
  <c r="M499" i="1"/>
  <c r="Q495" i="1"/>
  <c r="M495" i="1"/>
  <c r="Q491" i="1"/>
  <c r="M491" i="1"/>
  <c r="Q487" i="1"/>
  <c r="M487" i="1"/>
  <c r="Q483" i="1"/>
  <c r="M483" i="1"/>
  <c r="Q479" i="1"/>
  <c r="M479" i="1"/>
  <c r="Q475" i="1"/>
  <c r="M475" i="1"/>
  <c r="Q471" i="1"/>
  <c r="M471" i="1"/>
  <c r="Q467" i="1"/>
  <c r="M467" i="1"/>
  <c r="Q463" i="1"/>
  <c r="M463" i="1"/>
  <c r="Q459" i="1"/>
  <c r="M459" i="1"/>
  <c r="Q455" i="1"/>
  <c r="M455" i="1"/>
  <c r="Q451" i="1"/>
  <c r="M451" i="1"/>
  <c r="Q447" i="1"/>
  <c r="M447" i="1"/>
  <c r="Q443" i="1"/>
  <c r="M443" i="1"/>
  <c r="Q439" i="1"/>
  <c r="M439" i="1"/>
  <c r="Q435" i="1"/>
  <c r="M435" i="1"/>
  <c r="Q431" i="1"/>
  <c r="M431" i="1"/>
  <c r="Q427" i="1"/>
  <c r="M427" i="1"/>
  <c r="Q423" i="1"/>
  <c r="M423" i="1"/>
  <c r="Q419" i="1"/>
  <c r="M419" i="1"/>
  <c r="Q415" i="1"/>
  <c r="M415" i="1"/>
  <c r="Q411" i="1"/>
  <c r="M411" i="1"/>
  <c r="Q407" i="1"/>
  <c r="M407" i="1"/>
  <c r="Q403" i="1"/>
  <c r="M403" i="1"/>
  <c r="Q399" i="1"/>
  <c r="M399" i="1"/>
  <c r="Q395" i="1"/>
  <c r="M395" i="1"/>
  <c r="Q391" i="1"/>
  <c r="M391" i="1"/>
  <c r="Q387" i="1"/>
  <c r="M387" i="1"/>
  <c r="Q383" i="1"/>
  <c r="M383" i="1"/>
  <c r="Q379" i="1"/>
  <c r="M379" i="1"/>
  <c r="Q375" i="1"/>
  <c r="M375" i="1"/>
  <c r="Q371" i="1"/>
  <c r="M371" i="1"/>
  <c r="Q367" i="1"/>
  <c r="M367" i="1"/>
  <c r="Q363" i="1"/>
  <c r="M363" i="1"/>
  <c r="Q359" i="1"/>
  <c r="M359" i="1"/>
  <c r="Q355" i="1"/>
  <c r="M355" i="1"/>
  <c r="Q351" i="1"/>
  <c r="M351" i="1"/>
  <c r="Q347" i="1"/>
  <c r="M347" i="1"/>
  <c r="Q343" i="1"/>
  <c r="M343" i="1"/>
  <c r="Q339" i="1"/>
  <c r="M339" i="1"/>
  <c r="Q335" i="1"/>
  <c r="M335" i="1"/>
  <c r="Q331" i="1"/>
  <c r="M331" i="1"/>
  <c r="Q327" i="1"/>
  <c r="M327" i="1"/>
  <c r="Q323" i="1"/>
  <c r="M323" i="1"/>
  <c r="Q319" i="1"/>
  <c r="M319" i="1"/>
  <c r="Q315" i="1"/>
  <c r="M315" i="1"/>
  <c r="Q311" i="1"/>
  <c r="M311" i="1"/>
  <c r="Q307" i="1"/>
  <c r="M307" i="1"/>
  <c r="Q303" i="1"/>
  <c r="M303" i="1"/>
  <c r="Q299" i="1"/>
  <c r="M299" i="1"/>
  <c r="Q295" i="1"/>
  <c r="M295" i="1"/>
  <c r="Q291" i="1"/>
  <c r="M291" i="1"/>
  <c r="Q287" i="1"/>
  <c r="M287" i="1"/>
  <c r="Q283" i="1"/>
  <c r="M283" i="1"/>
  <c r="Q279" i="1"/>
  <c r="M279" i="1"/>
  <c r="Q275" i="1"/>
  <c r="M275" i="1"/>
  <c r="Q271" i="1"/>
  <c r="M271" i="1"/>
  <c r="Q267" i="1"/>
  <c r="M267" i="1"/>
  <c r="Q263" i="1"/>
  <c r="M263" i="1"/>
  <c r="Q259" i="1"/>
  <c r="M259" i="1"/>
  <c r="Q255" i="1"/>
  <c r="M255" i="1"/>
  <c r="Q251" i="1"/>
  <c r="M251" i="1"/>
  <c r="Q247" i="1"/>
  <c r="M247" i="1"/>
  <c r="Q243" i="1"/>
  <c r="M243" i="1"/>
  <c r="Q239" i="1"/>
  <c r="M239" i="1"/>
  <c r="Q235" i="1"/>
  <c r="M235" i="1"/>
  <c r="Q231" i="1"/>
  <c r="M231" i="1"/>
  <c r="Q227" i="1"/>
  <c r="M227" i="1"/>
  <c r="Q223" i="1"/>
  <c r="M223" i="1"/>
  <c r="Q219" i="1"/>
  <c r="M219" i="1"/>
  <c r="Q215" i="1"/>
  <c r="M215" i="1"/>
  <c r="Q211" i="1"/>
  <c r="M211" i="1"/>
  <c r="Q207" i="1"/>
  <c r="M207" i="1"/>
  <c r="Q203" i="1"/>
  <c r="M203" i="1"/>
  <c r="Q199" i="1"/>
  <c r="M199" i="1"/>
  <c r="Q195" i="1"/>
  <c r="M195" i="1"/>
  <c r="Q191" i="1"/>
  <c r="M191" i="1"/>
  <c r="Q187" i="1"/>
  <c r="M187" i="1"/>
  <c r="Q183" i="1"/>
  <c r="M183" i="1"/>
  <c r="Q179" i="1"/>
  <c r="M179" i="1"/>
  <c r="Q175" i="1"/>
  <c r="M175" i="1"/>
  <c r="Q171" i="1"/>
  <c r="M171" i="1"/>
  <c r="Q167" i="1"/>
  <c r="M167" i="1"/>
  <c r="Q163" i="1"/>
  <c r="M163" i="1"/>
  <c r="Q159" i="1"/>
  <c r="M159" i="1"/>
  <c r="Q155" i="1"/>
  <c r="M155" i="1"/>
  <c r="Q151" i="1"/>
  <c r="M151" i="1"/>
  <c r="Q147" i="1"/>
  <c r="M147" i="1"/>
  <c r="Q143" i="1"/>
  <c r="M143" i="1"/>
  <c r="Q139" i="1"/>
  <c r="M139" i="1"/>
  <c r="Q135" i="1"/>
  <c r="M135" i="1"/>
  <c r="Q131" i="1"/>
  <c r="M131" i="1"/>
  <c r="Q127" i="1"/>
  <c r="M127" i="1"/>
  <c r="Q123" i="1"/>
  <c r="M123" i="1"/>
  <c r="Q119" i="1"/>
  <c r="M119" i="1"/>
  <c r="Q115" i="1"/>
  <c r="M115" i="1"/>
  <c r="Q111" i="1"/>
  <c r="M111" i="1"/>
  <c r="Q107" i="1"/>
  <c r="M107" i="1"/>
  <c r="Q103" i="1"/>
  <c r="M103" i="1"/>
  <c r="Q99" i="1"/>
  <c r="M99" i="1"/>
  <c r="Q95" i="1"/>
  <c r="M95" i="1"/>
  <c r="Q91" i="1"/>
  <c r="M91" i="1"/>
  <c r="Q87" i="1"/>
  <c r="M87" i="1"/>
  <c r="Q83" i="1"/>
  <c r="M83" i="1"/>
  <c r="Q79" i="1"/>
  <c r="M79" i="1"/>
  <c r="Q75" i="1"/>
  <c r="M75" i="1"/>
  <c r="Q71" i="1"/>
  <c r="M71" i="1"/>
  <c r="Q67" i="1"/>
  <c r="M67" i="1"/>
  <c r="Q63" i="1"/>
  <c r="M63" i="1"/>
  <c r="Q59" i="1"/>
  <c r="M59" i="1"/>
  <c r="Q55" i="1"/>
  <c r="M55" i="1"/>
  <c r="Q51" i="1"/>
  <c r="M51" i="1"/>
  <c r="Q47" i="1"/>
  <c r="M47" i="1"/>
  <c r="Q43" i="1"/>
  <c r="M43" i="1"/>
  <c r="Q39" i="1"/>
  <c r="M39" i="1"/>
  <c r="Q35" i="1"/>
  <c r="M35" i="1"/>
  <c r="Q31" i="1"/>
  <c r="M31" i="1"/>
  <c r="Q27" i="1"/>
  <c r="M27" i="1"/>
  <c r="Q23" i="1"/>
  <c r="M23" i="1"/>
  <c r="Q19" i="1"/>
  <c r="M19" i="1"/>
  <c r="M2" i="1"/>
  <c r="M13" i="1"/>
  <c r="M9" i="1"/>
  <c r="M5" i="1"/>
  <c r="M729" i="1"/>
  <c r="M725" i="1"/>
  <c r="M721" i="1"/>
  <c r="M717" i="1"/>
  <c r="M713" i="1"/>
  <c r="M709" i="1"/>
  <c r="M705" i="1"/>
  <c r="M701" i="1"/>
  <c r="M697" i="1"/>
  <c r="M693" i="1"/>
  <c r="M689" i="1"/>
  <c r="M685" i="1"/>
  <c r="M681" i="1"/>
  <c r="M677" i="1"/>
  <c r="M673" i="1"/>
  <c r="M669" i="1"/>
  <c r="M665" i="1"/>
  <c r="M661" i="1"/>
  <c r="M657" i="1"/>
  <c r="M653" i="1"/>
  <c r="M649" i="1"/>
  <c r="M641" i="1"/>
  <c r="M633" i="1"/>
  <c r="M625" i="1"/>
  <c r="M617" i="1"/>
  <c r="M609" i="1"/>
  <c r="M601" i="1"/>
  <c r="M593" i="1"/>
  <c r="M585" i="1"/>
  <c r="M577" i="1"/>
  <c r="M569" i="1"/>
  <c r="M561" i="1"/>
  <c r="M553" i="1"/>
  <c r="M545" i="1"/>
  <c r="M537" i="1"/>
  <c r="M529" i="1"/>
  <c r="M521" i="1"/>
  <c r="M513" i="1"/>
  <c r="M505" i="1"/>
  <c r="M497" i="1"/>
  <c r="M489" i="1"/>
  <c r="M481" i="1"/>
  <c r="M473" i="1"/>
  <c r="M465" i="1"/>
  <c r="M457" i="1"/>
  <c r="M449" i="1"/>
  <c r="M441" i="1"/>
  <c r="M433" i="1"/>
  <c r="M425" i="1"/>
  <c r="M417" i="1"/>
  <c r="M409" i="1"/>
  <c r="M401" i="1"/>
  <c r="M393" i="1"/>
  <c r="M385" i="1"/>
  <c r="M377" i="1"/>
  <c r="M369" i="1"/>
  <c r="M361" i="1"/>
  <c r="M353" i="1"/>
  <c r="M345" i="1"/>
  <c r="M337" i="1"/>
  <c r="M329" i="1"/>
  <c r="M321" i="1"/>
  <c r="M313" i="1"/>
  <c r="M305" i="1"/>
  <c r="M297" i="1"/>
  <c r="M289" i="1"/>
  <c r="M281" i="1"/>
  <c r="M273" i="1"/>
  <c r="M265" i="1"/>
  <c r="M257" i="1"/>
  <c r="M249" i="1"/>
  <c r="M241" i="1"/>
  <c r="M233" i="1"/>
  <c r="M225" i="1"/>
  <c r="M217" i="1"/>
  <c r="M209" i="1"/>
  <c r="M201" i="1"/>
  <c r="M193" i="1"/>
  <c r="M185" i="1"/>
  <c r="M177" i="1"/>
  <c r="M169" i="1"/>
  <c r="M161" i="1"/>
  <c r="M153" i="1"/>
  <c r="M145" i="1"/>
  <c r="M137" i="1"/>
  <c r="M129" i="1"/>
  <c r="M121" i="1"/>
  <c r="M113" i="1"/>
  <c r="M105" i="1"/>
  <c r="M97" i="1"/>
  <c r="M89" i="1"/>
  <c r="M81" i="1"/>
  <c r="M73" i="1"/>
  <c r="M65" i="1"/>
  <c r="M57" i="1"/>
  <c r="M49" i="1"/>
  <c r="M41" i="1"/>
  <c r="M33" i="1"/>
  <c r="M17" i="1"/>
  <c r="Q512" i="1"/>
  <c r="M512" i="1"/>
  <c r="Q504" i="1"/>
  <c r="M504" i="1"/>
  <c r="Q500" i="1"/>
  <c r="M500" i="1"/>
  <c r="Q492" i="1"/>
  <c r="M492" i="1"/>
  <c r="Q484" i="1"/>
  <c r="M484" i="1"/>
  <c r="Q472" i="1"/>
  <c r="M472" i="1"/>
  <c r="Q468" i="1"/>
  <c r="M468" i="1"/>
  <c r="Q464" i="1"/>
  <c r="M464" i="1"/>
  <c r="Q456" i="1"/>
  <c r="M456" i="1"/>
  <c r="Q448" i="1"/>
  <c r="M448" i="1"/>
  <c r="Q444" i="1"/>
  <c r="M444" i="1"/>
  <c r="Q440" i="1"/>
  <c r="M440" i="1"/>
  <c r="Q436" i="1"/>
  <c r="M436" i="1"/>
  <c r="Q428" i="1"/>
  <c r="M428" i="1"/>
  <c r="Q420" i="1"/>
  <c r="M420" i="1"/>
  <c r="Q408" i="1"/>
  <c r="M408" i="1"/>
  <c r="Q400" i="1"/>
  <c r="M400" i="1"/>
  <c r="Q392" i="1"/>
  <c r="M392" i="1"/>
  <c r="Q384" i="1"/>
  <c r="M384" i="1"/>
  <c r="Q376" i="1"/>
  <c r="M376" i="1"/>
  <c r="Q368" i="1"/>
  <c r="M368" i="1"/>
  <c r="Q360" i="1"/>
  <c r="M360" i="1"/>
  <c r="Q356" i="1"/>
  <c r="M356" i="1"/>
  <c r="Q344" i="1"/>
  <c r="M344" i="1"/>
  <c r="Q328" i="1"/>
  <c r="M328" i="1"/>
  <c r="Q324" i="1"/>
  <c r="M324" i="1"/>
  <c r="Q316" i="1"/>
  <c r="M316" i="1"/>
  <c r="Q308" i="1"/>
  <c r="M308" i="1"/>
  <c r="Q300" i="1"/>
  <c r="M300" i="1"/>
  <c r="Q292" i="1"/>
  <c r="M292" i="1"/>
  <c r="Q284" i="1"/>
  <c r="M284" i="1"/>
  <c r="Q276" i="1"/>
  <c r="M276" i="1"/>
  <c r="Q264" i="1"/>
  <c r="M264" i="1"/>
  <c r="Q256" i="1"/>
  <c r="M256" i="1"/>
  <c r="Q248" i="1"/>
  <c r="M248" i="1"/>
  <c r="Q240" i="1"/>
  <c r="M240" i="1"/>
  <c r="Q232" i="1"/>
  <c r="M232" i="1"/>
  <c r="Q224" i="1"/>
  <c r="M224" i="1"/>
  <c r="Q212" i="1"/>
  <c r="M212" i="1"/>
  <c r="Q208" i="1"/>
  <c r="M208" i="1"/>
  <c r="Q200" i="1"/>
  <c r="M200" i="1"/>
  <c r="Q196" i="1"/>
  <c r="M196" i="1"/>
  <c r="Q192" i="1"/>
  <c r="M192" i="1"/>
  <c r="Q188" i="1"/>
  <c r="M188" i="1"/>
  <c r="Q184" i="1"/>
  <c r="M184" i="1"/>
  <c r="Q176" i="1"/>
  <c r="M176" i="1"/>
  <c r="Q172" i="1"/>
  <c r="M172" i="1"/>
  <c r="Q160" i="1"/>
  <c r="M160" i="1"/>
  <c r="Q152" i="1"/>
  <c r="M152" i="1"/>
  <c r="Q144" i="1"/>
  <c r="M144" i="1"/>
  <c r="Q132" i="1"/>
  <c r="M132" i="1"/>
  <c r="Q120" i="1"/>
  <c r="M120" i="1"/>
  <c r="Q112" i="1"/>
  <c r="M112" i="1"/>
  <c r="Q100" i="1"/>
  <c r="M100" i="1"/>
  <c r="Q92" i="1"/>
  <c r="M92" i="1"/>
  <c r="Q80" i="1"/>
  <c r="M80" i="1"/>
  <c r="Q72" i="1"/>
  <c r="M72" i="1"/>
  <c r="Q64" i="1"/>
  <c r="M64" i="1"/>
  <c r="Q56" i="1"/>
  <c r="M56" i="1"/>
  <c r="Q48" i="1"/>
  <c r="M48" i="1"/>
  <c r="Q36" i="1"/>
  <c r="M36" i="1"/>
  <c r="Q28" i="1"/>
  <c r="M28" i="1"/>
  <c r="Q20" i="1"/>
  <c r="M20" i="1"/>
  <c r="P14" i="1"/>
  <c r="N14" i="1"/>
  <c r="O14" i="1" s="1"/>
  <c r="P6" i="1"/>
  <c r="N6" i="1"/>
  <c r="O6" i="1" s="1"/>
  <c r="P722" i="1"/>
  <c r="N722" i="1"/>
  <c r="O722" i="1" s="1"/>
  <c r="P714" i="1"/>
  <c r="N714" i="1"/>
  <c r="O714" i="1" s="1"/>
  <c r="P706" i="1"/>
  <c r="N706" i="1"/>
  <c r="O706" i="1" s="1"/>
  <c r="P698" i="1"/>
  <c r="N698" i="1"/>
  <c r="O698" i="1" s="1"/>
  <c r="P690" i="1"/>
  <c r="N690" i="1"/>
  <c r="O690" i="1" s="1"/>
  <c r="P678" i="1"/>
  <c r="N678" i="1"/>
  <c r="O678" i="1" s="1"/>
  <c r="P666" i="1"/>
  <c r="N666" i="1"/>
  <c r="O666" i="1" s="1"/>
  <c r="P650" i="1"/>
  <c r="N650" i="1"/>
  <c r="O650" i="1" s="1"/>
  <c r="P626" i="1"/>
  <c r="N626" i="1"/>
  <c r="O626" i="1" s="1"/>
  <c r="P594" i="1"/>
  <c r="N594" i="1"/>
  <c r="O594" i="1" s="1"/>
  <c r="P578" i="1"/>
  <c r="N578" i="1"/>
  <c r="O578" i="1" s="1"/>
  <c r="P554" i="1"/>
  <c r="N554" i="1"/>
  <c r="O554" i="1" s="1"/>
  <c r="P538" i="1"/>
  <c r="N538" i="1"/>
  <c r="O538" i="1" s="1"/>
  <c r="P506" i="1"/>
  <c r="N506" i="1"/>
  <c r="O506" i="1" s="1"/>
  <c r="P490" i="1"/>
  <c r="N490" i="1"/>
  <c r="O490" i="1" s="1"/>
  <c r="P466" i="1"/>
  <c r="N466" i="1"/>
  <c r="O466" i="1" s="1"/>
  <c r="P450" i="1"/>
  <c r="N450" i="1"/>
  <c r="O450" i="1" s="1"/>
  <c r="P426" i="1"/>
  <c r="N426" i="1"/>
  <c r="O426" i="1" s="1"/>
  <c r="P402" i="1"/>
  <c r="N402" i="1"/>
  <c r="O402" i="1" s="1"/>
  <c r="P386" i="1"/>
  <c r="N386" i="1"/>
  <c r="O386" i="1" s="1"/>
  <c r="P362" i="1"/>
  <c r="N362" i="1"/>
  <c r="O362" i="1" s="1"/>
  <c r="P346" i="1"/>
  <c r="N346" i="1"/>
  <c r="O346" i="1" s="1"/>
  <c r="P338" i="1"/>
  <c r="N338" i="1"/>
  <c r="O338" i="1" s="1"/>
  <c r="P322" i="1"/>
  <c r="N322" i="1"/>
  <c r="O322" i="1" s="1"/>
  <c r="P306" i="1"/>
  <c r="N306" i="1"/>
  <c r="O306" i="1" s="1"/>
  <c r="P290" i="1"/>
  <c r="N290" i="1"/>
  <c r="O290" i="1" s="1"/>
  <c r="P274" i="1"/>
  <c r="N274" i="1"/>
  <c r="O274" i="1" s="1"/>
  <c r="P258" i="1"/>
  <c r="N258" i="1"/>
  <c r="O258" i="1" s="1"/>
  <c r="P242" i="1"/>
  <c r="N242" i="1"/>
  <c r="O242" i="1" s="1"/>
  <c r="P226" i="1"/>
  <c r="N226" i="1"/>
  <c r="O226" i="1" s="1"/>
  <c r="P202" i="1"/>
  <c r="N202" i="1"/>
  <c r="O202" i="1" s="1"/>
  <c r="P186" i="1"/>
  <c r="N186" i="1"/>
  <c r="O186" i="1" s="1"/>
  <c r="P178" i="1"/>
  <c r="N178" i="1"/>
  <c r="O178" i="1" s="1"/>
  <c r="P162" i="1"/>
  <c r="N162" i="1"/>
  <c r="O162" i="1" s="1"/>
  <c r="P138" i="1"/>
  <c r="N138" i="1"/>
  <c r="O138" i="1" s="1"/>
  <c r="P122" i="1"/>
  <c r="N122" i="1"/>
  <c r="O122" i="1" s="1"/>
  <c r="P106" i="1"/>
  <c r="N106" i="1"/>
  <c r="O106" i="1" s="1"/>
  <c r="P90" i="1"/>
  <c r="N90" i="1"/>
  <c r="O90" i="1" s="1"/>
  <c r="P82" i="1"/>
  <c r="N82" i="1"/>
  <c r="O82" i="1" s="1"/>
  <c r="P66" i="1"/>
  <c r="N66" i="1"/>
  <c r="O66" i="1" s="1"/>
  <c r="P50" i="1"/>
  <c r="N50" i="1"/>
  <c r="O50" i="1" s="1"/>
  <c r="P21" i="1"/>
  <c r="N21" i="1"/>
  <c r="O21" i="1" s="1"/>
  <c r="Q30" i="1"/>
  <c r="M30" i="1"/>
  <c r="Q26" i="1"/>
  <c r="M26" i="1"/>
  <c r="Q22" i="1"/>
  <c r="M22" i="1"/>
  <c r="Q18" i="1"/>
  <c r="M18" i="1"/>
  <c r="M3" i="1"/>
  <c r="M12" i="1"/>
  <c r="M8" i="1"/>
  <c r="M4" i="1"/>
  <c r="M728" i="1"/>
  <c r="M724" i="1"/>
  <c r="M720" i="1"/>
  <c r="M716" i="1"/>
  <c r="M712" i="1"/>
  <c r="M708" i="1"/>
  <c r="M704" i="1"/>
  <c r="M700" i="1"/>
  <c r="M696" i="1"/>
  <c r="M692" i="1"/>
  <c r="M688" i="1"/>
  <c r="M684" i="1"/>
  <c r="M680" i="1"/>
  <c r="M676" i="1"/>
  <c r="M672" i="1"/>
  <c r="M668" i="1"/>
  <c r="M664" i="1"/>
  <c r="M660" i="1"/>
  <c r="M656" i="1"/>
  <c r="M652" i="1"/>
  <c r="M646" i="1"/>
  <c r="M638" i="1"/>
  <c r="M630" i="1"/>
  <c r="M622" i="1"/>
  <c r="M614" i="1"/>
  <c r="M606" i="1"/>
  <c r="M598" i="1"/>
  <c r="M590" i="1"/>
  <c r="M582" i="1"/>
  <c r="M574" i="1"/>
  <c r="M566" i="1"/>
  <c r="M558" i="1"/>
  <c r="M550" i="1"/>
  <c r="M542" i="1"/>
  <c r="M534" i="1"/>
  <c r="M526" i="1"/>
  <c r="M518" i="1"/>
  <c r="M510" i="1"/>
  <c r="M502" i="1"/>
  <c r="M494" i="1"/>
  <c r="M486" i="1"/>
  <c r="M478" i="1"/>
  <c r="M470" i="1"/>
  <c r="M462" i="1"/>
  <c r="M454" i="1"/>
  <c r="M446" i="1"/>
  <c r="M438" i="1"/>
  <c r="M430" i="1"/>
  <c r="M422" i="1"/>
  <c r="M414" i="1"/>
  <c r="M406" i="1"/>
  <c r="M398" i="1"/>
  <c r="M390" i="1"/>
  <c r="M382" i="1"/>
  <c r="M374" i="1"/>
  <c r="M366" i="1"/>
  <c r="M358" i="1"/>
  <c r="M350" i="1"/>
  <c r="M342" i="1"/>
  <c r="M334" i="1"/>
  <c r="M326" i="1"/>
  <c r="M318" i="1"/>
  <c r="M310" i="1"/>
  <c r="M302" i="1"/>
  <c r="M294" i="1"/>
  <c r="M286" i="1"/>
  <c r="M278" i="1"/>
  <c r="M270" i="1"/>
  <c r="M262" i="1"/>
  <c r="M254" i="1"/>
  <c r="M246" i="1"/>
  <c r="M238" i="1"/>
  <c r="M230" i="1"/>
  <c r="M222" i="1"/>
  <c r="M214" i="1"/>
  <c r="M206" i="1"/>
  <c r="M198" i="1"/>
  <c r="M190" i="1"/>
  <c r="M182" i="1"/>
  <c r="M174" i="1"/>
  <c r="M166" i="1"/>
  <c r="M158" i="1"/>
  <c r="M150" i="1"/>
  <c r="M142" i="1"/>
  <c r="M134" i="1"/>
  <c r="M126" i="1"/>
  <c r="M118" i="1"/>
  <c r="M110" i="1"/>
  <c r="M102" i="1"/>
  <c r="M94" i="1"/>
  <c r="M86" i="1"/>
  <c r="M78" i="1"/>
  <c r="M70" i="1"/>
  <c r="M62" i="1"/>
  <c r="M54" i="1"/>
  <c r="M46" i="1"/>
  <c r="M38" i="1"/>
  <c r="M29" i="1"/>
  <c r="Q168" i="1"/>
  <c r="M168" i="1"/>
  <c r="Q164" i="1"/>
  <c r="M164" i="1"/>
  <c r="Q156" i="1"/>
  <c r="M156" i="1"/>
  <c r="Q148" i="1"/>
  <c r="M148" i="1"/>
  <c r="Q140" i="1"/>
  <c r="M140" i="1"/>
  <c r="Q136" i="1"/>
  <c r="M136" i="1"/>
  <c r="Q128" i="1"/>
  <c r="M128" i="1"/>
  <c r="Q124" i="1"/>
  <c r="M124" i="1"/>
  <c r="Q116" i="1"/>
  <c r="M116" i="1"/>
  <c r="Q108" i="1"/>
  <c r="M108" i="1"/>
  <c r="Q104" i="1"/>
  <c r="M104" i="1"/>
  <c r="Q96" i="1"/>
  <c r="M96" i="1"/>
  <c r="Q88" i="1"/>
  <c r="M88" i="1"/>
  <c r="Q84" i="1"/>
  <c r="M84" i="1"/>
  <c r="Q76" i="1"/>
  <c r="M76" i="1"/>
  <c r="Q68" i="1"/>
  <c r="M68" i="1"/>
  <c r="Q60" i="1"/>
  <c r="M60" i="1"/>
  <c r="Q52" i="1"/>
  <c r="M52" i="1"/>
  <c r="Q44" i="1"/>
  <c r="M44" i="1"/>
  <c r="Q40" i="1"/>
  <c r="M40" i="1"/>
  <c r="Q32" i="1"/>
  <c r="M32" i="1"/>
  <c r="Q24" i="1"/>
  <c r="M24" i="1"/>
  <c r="N24" i="1" s="1"/>
  <c r="Q16" i="1"/>
  <c r="M16" i="1"/>
  <c r="P10" i="1"/>
  <c r="N10" i="1"/>
  <c r="O10" i="1" s="1"/>
  <c r="P730" i="1"/>
  <c r="N730" i="1"/>
  <c r="O730" i="1" s="1"/>
  <c r="P718" i="1"/>
  <c r="N718" i="1"/>
  <c r="O718" i="1" s="1"/>
  <c r="P702" i="1"/>
  <c r="N702" i="1"/>
  <c r="O702" i="1" s="1"/>
  <c r="P686" i="1"/>
  <c r="N686" i="1"/>
  <c r="O686" i="1" s="1"/>
  <c r="P674" i="1"/>
  <c r="N674" i="1"/>
  <c r="O674" i="1" s="1"/>
  <c r="P662" i="1"/>
  <c r="N662" i="1"/>
  <c r="O662" i="1" s="1"/>
  <c r="P658" i="1"/>
  <c r="N658" i="1"/>
  <c r="O658" i="1" s="1"/>
  <c r="P642" i="1"/>
  <c r="N642" i="1"/>
  <c r="O642" i="1" s="1"/>
  <c r="P618" i="1"/>
  <c r="N618" i="1"/>
  <c r="O618" i="1" s="1"/>
  <c r="P586" i="1"/>
  <c r="N586" i="1"/>
  <c r="O586" i="1" s="1"/>
  <c r="P562" i="1"/>
  <c r="N562" i="1"/>
  <c r="O562" i="1" s="1"/>
  <c r="P522" i="1"/>
  <c r="N522" i="1"/>
  <c r="O522" i="1" s="1"/>
  <c r="P482" i="1"/>
  <c r="N482" i="1"/>
  <c r="O482" i="1" s="1"/>
  <c r="P418" i="1"/>
  <c r="N418" i="1"/>
  <c r="O418" i="1" s="1"/>
  <c r="P314" i="1"/>
  <c r="N314" i="1"/>
  <c r="O314" i="1" s="1"/>
  <c r="M15" i="1"/>
  <c r="M11" i="1"/>
  <c r="M7" i="1"/>
  <c r="M731" i="1"/>
  <c r="M727" i="1"/>
  <c r="M723" i="1"/>
  <c r="M719" i="1"/>
  <c r="M715" i="1"/>
  <c r="M711" i="1"/>
  <c r="M707" i="1"/>
  <c r="M703" i="1"/>
  <c r="M699" i="1"/>
  <c r="M695" i="1"/>
  <c r="M691" i="1"/>
  <c r="M687" i="1"/>
  <c r="M683" i="1"/>
  <c r="M679" i="1"/>
  <c r="M675" i="1"/>
  <c r="M671" i="1"/>
  <c r="M667" i="1"/>
  <c r="M663" i="1"/>
  <c r="M659" i="1"/>
  <c r="M655" i="1"/>
  <c r="M651" i="1"/>
  <c r="M645" i="1"/>
  <c r="M637" i="1"/>
  <c r="M629" i="1"/>
  <c r="M621" i="1"/>
  <c r="M613" i="1"/>
  <c r="M605" i="1"/>
  <c r="M597" i="1"/>
  <c r="M589" i="1"/>
  <c r="M581" i="1"/>
  <c r="M573" i="1"/>
  <c r="M565" i="1"/>
  <c r="M557" i="1"/>
  <c r="M549" i="1"/>
  <c r="M541" i="1"/>
  <c r="M533" i="1"/>
  <c r="M525" i="1"/>
  <c r="M517" i="1"/>
  <c r="M509" i="1"/>
  <c r="M501" i="1"/>
  <c r="M493" i="1"/>
  <c r="M485" i="1"/>
  <c r="M477" i="1"/>
  <c r="M469" i="1"/>
  <c r="M461" i="1"/>
  <c r="M453" i="1"/>
  <c r="M445" i="1"/>
  <c r="M437" i="1"/>
  <c r="M429" i="1"/>
  <c r="M421" i="1"/>
  <c r="M413" i="1"/>
  <c r="M405" i="1"/>
  <c r="M397" i="1"/>
  <c r="M389" i="1"/>
  <c r="M381" i="1"/>
  <c r="M373" i="1"/>
  <c r="M365" i="1"/>
  <c r="M357" i="1"/>
  <c r="M349" i="1"/>
  <c r="M341" i="1"/>
  <c r="M333" i="1"/>
  <c r="M325" i="1"/>
  <c r="M317" i="1"/>
  <c r="M309" i="1"/>
  <c r="M301" i="1"/>
  <c r="M293" i="1"/>
  <c r="M285" i="1"/>
  <c r="M277" i="1"/>
  <c r="M269" i="1"/>
  <c r="M261" i="1"/>
  <c r="M253" i="1"/>
  <c r="M245" i="1"/>
  <c r="M237" i="1"/>
  <c r="M229" i="1"/>
  <c r="M221" i="1"/>
  <c r="M213" i="1"/>
  <c r="M205" i="1"/>
  <c r="M197" i="1"/>
  <c r="M189" i="1"/>
  <c r="N189" i="1" s="1"/>
  <c r="M181" i="1"/>
  <c r="M173" i="1"/>
  <c r="M165" i="1"/>
  <c r="M157" i="1"/>
  <c r="M149" i="1"/>
  <c r="M141" i="1"/>
  <c r="M133" i="1"/>
  <c r="M125" i="1"/>
  <c r="M117" i="1"/>
  <c r="M109" i="1"/>
  <c r="M101" i="1"/>
  <c r="M93" i="1"/>
  <c r="M85" i="1"/>
  <c r="M77" i="1"/>
  <c r="M69" i="1"/>
  <c r="M61" i="1"/>
  <c r="M53" i="1"/>
  <c r="M45" i="1"/>
  <c r="M37" i="1"/>
  <c r="M25" i="1"/>
  <c r="P69" i="1" l="1"/>
  <c r="N69" i="1"/>
  <c r="O69" i="1" s="1"/>
  <c r="P229" i="1"/>
  <c r="N229" i="1"/>
  <c r="O229" i="1" s="1"/>
  <c r="P421" i="1"/>
  <c r="N421" i="1"/>
  <c r="O421" i="1" s="1"/>
  <c r="P581" i="1"/>
  <c r="N581" i="1"/>
  <c r="O581" i="1" s="1"/>
  <c r="P695" i="1"/>
  <c r="N695" i="1"/>
  <c r="O695" i="1" s="1"/>
  <c r="P134" i="1"/>
  <c r="N134" i="1"/>
  <c r="O134" i="1" s="1"/>
  <c r="P294" i="1"/>
  <c r="N294" i="1"/>
  <c r="O294" i="1" s="1"/>
  <c r="P454" i="1"/>
  <c r="N454" i="1"/>
  <c r="O454" i="1" s="1"/>
  <c r="P646" i="1"/>
  <c r="N646" i="1"/>
  <c r="O646" i="1" s="1"/>
  <c r="P712" i="1"/>
  <c r="N712" i="1"/>
  <c r="O712" i="1" s="1"/>
  <c r="P97" i="1"/>
  <c r="N97" i="1"/>
  <c r="O97" i="1" s="1"/>
  <c r="P321" i="1"/>
  <c r="N321" i="1"/>
  <c r="O321" i="1" s="1"/>
  <c r="P481" i="1"/>
  <c r="N481" i="1"/>
  <c r="O481" i="1" s="1"/>
  <c r="P577" i="1"/>
  <c r="N577" i="1"/>
  <c r="O577" i="1" s="1"/>
  <c r="P677" i="1"/>
  <c r="N677" i="1"/>
  <c r="O677" i="1" s="1"/>
  <c r="P31" i="1"/>
  <c r="N31" i="1"/>
  <c r="O31" i="1" s="1"/>
  <c r="P79" i="1"/>
  <c r="N79" i="1"/>
  <c r="O79" i="1" s="1"/>
  <c r="P127" i="1"/>
  <c r="N127" i="1"/>
  <c r="O127" i="1" s="1"/>
  <c r="P167" i="1"/>
  <c r="N167" i="1"/>
  <c r="O167" i="1" s="1"/>
  <c r="P207" i="1"/>
  <c r="N207" i="1"/>
  <c r="O207" i="1" s="1"/>
  <c r="P255" i="1"/>
  <c r="N255" i="1"/>
  <c r="O255" i="1" s="1"/>
  <c r="P295" i="1"/>
  <c r="N295" i="1"/>
  <c r="O295" i="1" s="1"/>
  <c r="P319" i="1"/>
  <c r="N319" i="1"/>
  <c r="O319" i="1" s="1"/>
  <c r="P327" i="1"/>
  <c r="N327" i="1"/>
  <c r="O327" i="1" s="1"/>
  <c r="P335" i="1"/>
  <c r="N335" i="1"/>
  <c r="O335" i="1" s="1"/>
  <c r="P343" i="1"/>
  <c r="N343" i="1"/>
  <c r="O343" i="1" s="1"/>
  <c r="P351" i="1"/>
  <c r="N351" i="1"/>
  <c r="O351" i="1" s="1"/>
  <c r="P359" i="1"/>
  <c r="N359" i="1"/>
  <c r="O359" i="1" s="1"/>
  <c r="P367" i="1"/>
  <c r="N367" i="1"/>
  <c r="O367" i="1" s="1"/>
  <c r="P375" i="1"/>
  <c r="N375" i="1"/>
  <c r="O375" i="1" s="1"/>
  <c r="P383" i="1"/>
  <c r="N383" i="1"/>
  <c r="O383" i="1" s="1"/>
  <c r="P391" i="1"/>
  <c r="N391" i="1"/>
  <c r="O391" i="1" s="1"/>
  <c r="P399" i="1"/>
  <c r="N399" i="1"/>
  <c r="O399" i="1" s="1"/>
  <c r="P407" i="1"/>
  <c r="N407" i="1"/>
  <c r="O407" i="1" s="1"/>
  <c r="P415" i="1"/>
  <c r="N415" i="1"/>
  <c r="O415" i="1" s="1"/>
  <c r="P423" i="1"/>
  <c r="N423" i="1"/>
  <c r="O423" i="1" s="1"/>
  <c r="P431" i="1"/>
  <c r="N431" i="1"/>
  <c r="O431" i="1" s="1"/>
  <c r="P447" i="1"/>
  <c r="N447" i="1"/>
  <c r="O447" i="1" s="1"/>
  <c r="P471" i="1"/>
  <c r="N471" i="1"/>
  <c r="O471" i="1" s="1"/>
  <c r="P479" i="1"/>
  <c r="N479" i="1"/>
  <c r="O479" i="1" s="1"/>
  <c r="P487" i="1"/>
  <c r="N487" i="1"/>
  <c r="O487" i="1" s="1"/>
  <c r="P495" i="1"/>
  <c r="N495" i="1"/>
  <c r="O495" i="1" s="1"/>
  <c r="P503" i="1"/>
  <c r="N503" i="1"/>
  <c r="O503" i="1" s="1"/>
  <c r="P511" i="1"/>
  <c r="N511" i="1"/>
  <c r="O511" i="1" s="1"/>
  <c r="P519" i="1"/>
  <c r="N519" i="1"/>
  <c r="O519" i="1" s="1"/>
  <c r="P527" i="1"/>
  <c r="N527" i="1"/>
  <c r="O527" i="1" s="1"/>
  <c r="P535" i="1"/>
  <c r="N535" i="1"/>
  <c r="O535" i="1" s="1"/>
  <c r="P543" i="1"/>
  <c r="N543" i="1"/>
  <c r="O543" i="1" s="1"/>
  <c r="P551" i="1"/>
  <c r="N551" i="1"/>
  <c r="O551" i="1" s="1"/>
  <c r="P559" i="1"/>
  <c r="N559" i="1"/>
  <c r="O559" i="1" s="1"/>
  <c r="P567" i="1"/>
  <c r="N567" i="1"/>
  <c r="O567" i="1" s="1"/>
  <c r="P575" i="1"/>
  <c r="N575" i="1"/>
  <c r="O575" i="1" s="1"/>
  <c r="P583" i="1"/>
  <c r="N583" i="1"/>
  <c r="O583" i="1" s="1"/>
  <c r="P591" i="1"/>
  <c r="N591" i="1"/>
  <c r="O591" i="1" s="1"/>
  <c r="P599" i="1"/>
  <c r="N599" i="1"/>
  <c r="O599" i="1" s="1"/>
  <c r="P607" i="1"/>
  <c r="N607" i="1"/>
  <c r="O607" i="1" s="1"/>
  <c r="P615" i="1"/>
  <c r="N615" i="1"/>
  <c r="O615" i="1" s="1"/>
  <c r="P623" i="1"/>
  <c r="N623" i="1"/>
  <c r="O623" i="1" s="1"/>
  <c r="P631" i="1"/>
  <c r="N631" i="1"/>
  <c r="O631" i="1" s="1"/>
  <c r="P639" i="1"/>
  <c r="N639" i="1"/>
  <c r="O639" i="1" s="1"/>
  <c r="P647" i="1"/>
  <c r="N647" i="1"/>
  <c r="O647" i="1" s="1"/>
  <c r="P204" i="1"/>
  <c r="N204" i="1"/>
  <c r="O204" i="1" s="1"/>
  <c r="P220" i="1"/>
  <c r="N220" i="1"/>
  <c r="O220" i="1" s="1"/>
  <c r="P236" i="1"/>
  <c r="N236" i="1"/>
  <c r="O236" i="1" s="1"/>
  <c r="P252" i="1"/>
  <c r="N252" i="1"/>
  <c r="O252" i="1" s="1"/>
  <c r="P268" i="1"/>
  <c r="N268" i="1"/>
  <c r="O268" i="1" s="1"/>
  <c r="P280" i="1"/>
  <c r="N280" i="1"/>
  <c r="O280" i="1" s="1"/>
  <c r="P296" i="1"/>
  <c r="N296" i="1"/>
  <c r="O296" i="1" s="1"/>
  <c r="P312" i="1"/>
  <c r="N312" i="1"/>
  <c r="O312" i="1" s="1"/>
  <c r="P332" i="1"/>
  <c r="N332" i="1"/>
  <c r="O332" i="1" s="1"/>
  <c r="P340" i="1"/>
  <c r="N340" i="1"/>
  <c r="O340" i="1" s="1"/>
  <c r="P352" i="1"/>
  <c r="N352" i="1"/>
  <c r="O352" i="1" s="1"/>
  <c r="P372" i="1"/>
  <c r="N372" i="1"/>
  <c r="O372" i="1" s="1"/>
  <c r="P388" i="1"/>
  <c r="N388" i="1"/>
  <c r="O388" i="1" s="1"/>
  <c r="P404" i="1"/>
  <c r="N404" i="1"/>
  <c r="O404" i="1" s="1"/>
  <c r="P416" i="1"/>
  <c r="N416" i="1"/>
  <c r="O416" i="1" s="1"/>
  <c r="P432" i="1"/>
  <c r="N432" i="1"/>
  <c r="O432" i="1" s="1"/>
  <c r="P460" i="1"/>
  <c r="N460" i="1"/>
  <c r="O460" i="1" s="1"/>
  <c r="P480" i="1"/>
  <c r="N480" i="1"/>
  <c r="O480" i="1" s="1"/>
  <c r="P496" i="1"/>
  <c r="N496" i="1"/>
  <c r="O496" i="1" s="1"/>
  <c r="P516" i="1"/>
  <c r="N516" i="1"/>
  <c r="O516" i="1" s="1"/>
  <c r="P524" i="1"/>
  <c r="N524" i="1"/>
  <c r="O524" i="1" s="1"/>
  <c r="P532" i="1"/>
  <c r="N532" i="1"/>
  <c r="O532" i="1" s="1"/>
  <c r="P540" i="1"/>
  <c r="N540" i="1"/>
  <c r="O540" i="1" s="1"/>
  <c r="P548" i="1"/>
  <c r="N548" i="1"/>
  <c r="O548" i="1" s="1"/>
  <c r="P556" i="1"/>
  <c r="N556" i="1"/>
  <c r="O556" i="1" s="1"/>
  <c r="P564" i="1"/>
  <c r="N564" i="1"/>
  <c r="O564" i="1" s="1"/>
  <c r="P572" i="1"/>
  <c r="N572" i="1"/>
  <c r="O572" i="1" s="1"/>
  <c r="P580" i="1"/>
  <c r="N580" i="1"/>
  <c r="O580" i="1" s="1"/>
  <c r="P588" i="1"/>
  <c r="N588" i="1"/>
  <c r="O588" i="1" s="1"/>
  <c r="P596" i="1"/>
  <c r="N596" i="1"/>
  <c r="O596" i="1" s="1"/>
  <c r="P604" i="1"/>
  <c r="N604" i="1"/>
  <c r="O604" i="1" s="1"/>
  <c r="P612" i="1"/>
  <c r="N612" i="1"/>
  <c r="O612" i="1" s="1"/>
  <c r="P620" i="1"/>
  <c r="N620" i="1"/>
  <c r="O620" i="1" s="1"/>
  <c r="P628" i="1"/>
  <c r="N628" i="1"/>
  <c r="O628" i="1" s="1"/>
  <c r="P636" i="1"/>
  <c r="N636" i="1"/>
  <c r="O636" i="1" s="1"/>
  <c r="P644" i="1"/>
  <c r="N644" i="1"/>
  <c r="O644" i="1" s="1"/>
  <c r="P101" i="1"/>
  <c r="N101" i="1"/>
  <c r="O101" i="1" s="1"/>
  <c r="P197" i="1"/>
  <c r="N197" i="1"/>
  <c r="O197" i="1" s="1"/>
  <c r="P293" i="1"/>
  <c r="N293" i="1"/>
  <c r="O293" i="1" s="1"/>
  <c r="P389" i="1"/>
  <c r="N389" i="1"/>
  <c r="O389" i="1" s="1"/>
  <c r="P517" i="1"/>
  <c r="N517" i="1"/>
  <c r="O517" i="1" s="1"/>
  <c r="P613" i="1"/>
  <c r="N613" i="1"/>
  <c r="O613" i="1" s="1"/>
  <c r="P663" i="1"/>
  <c r="N663" i="1"/>
  <c r="O663" i="1" s="1"/>
  <c r="P727" i="1"/>
  <c r="N727" i="1"/>
  <c r="O727" i="1" s="1"/>
  <c r="P70" i="1"/>
  <c r="N70" i="1"/>
  <c r="O70" i="1" s="1"/>
  <c r="P198" i="1"/>
  <c r="N198" i="1"/>
  <c r="O198" i="1" s="1"/>
  <c r="P326" i="1"/>
  <c r="N326" i="1"/>
  <c r="O326" i="1" s="1"/>
  <c r="P422" i="1"/>
  <c r="N422" i="1"/>
  <c r="O422" i="1" s="1"/>
  <c r="P550" i="1"/>
  <c r="N550" i="1"/>
  <c r="O550" i="1" s="1"/>
  <c r="P664" i="1"/>
  <c r="N664" i="1"/>
  <c r="O664" i="1" s="1"/>
  <c r="P696" i="1"/>
  <c r="N696" i="1"/>
  <c r="O696" i="1" s="1"/>
  <c r="P33" i="1"/>
  <c r="N33" i="1"/>
  <c r="O33" i="1" s="1"/>
  <c r="P161" i="1"/>
  <c r="N161" i="1"/>
  <c r="O161" i="1" s="1"/>
  <c r="P225" i="1"/>
  <c r="N225" i="1"/>
  <c r="O225" i="1" s="1"/>
  <c r="P353" i="1"/>
  <c r="N353" i="1"/>
  <c r="O353" i="1" s="1"/>
  <c r="P449" i="1"/>
  <c r="N449" i="1"/>
  <c r="O449" i="1" s="1"/>
  <c r="P545" i="1"/>
  <c r="N545" i="1"/>
  <c r="O545" i="1" s="1"/>
  <c r="P661" i="1"/>
  <c r="N661" i="1"/>
  <c r="O661" i="1" s="1"/>
  <c r="P709" i="1"/>
  <c r="N709" i="1"/>
  <c r="O709" i="1" s="1"/>
  <c r="P23" i="1"/>
  <c r="N23" i="1"/>
  <c r="O23" i="1" s="1"/>
  <c r="P47" i="1"/>
  <c r="N47" i="1"/>
  <c r="O47" i="1" s="1"/>
  <c r="P63" i="1"/>
  <c r="N63" i="1"/>
  <c r="O63" i="1" s="1"/>
  <c r="P87" i="1"/>
  <c r="N87" i="1"/>
  <c r="O87" i="1" s="1"/>
  <c r="P111" i="1"/>
  <c r="N111" i="1"/>
  <c r="O111" i="1" s="1"/>
  <c r="P143" i="1"/>
  <c r="N143" i="1"/>
  <c r="O143" i="1" s="1"/>
  <c r="P175" i="1"/>
  <c r="N175" i="1"/>
  <c r="O175" i="1" s="1"/>
  <c r="P191" i="1"/>
  <c r="N191" i="1"/>
  <c r="O191" i="1" s="1"/>
  <c r="P215" i="1"/>
  <c r="N215" i="1"/>
  <c r="O215" i="1" s="1"/>
  <c r="P223" i="1"/>
  <c r="N223" i="1"/>
  <c r="O223" i="1" s="1"/>
  <c r="P239" i="1"/>
  <c r="N239" i="1"/>
  <c r="O239" i="1" s="1"/>
  <c r="P263" i="1"/>
  <c r="N263" i="1"/>
  <c r="O263" i="1" s="1"/>
  <c r="P279" i="1"/>
  <c r="N279" i="1"/>
  <c r="O279" i="1" s="1"/>
  <c r="P303" i="1"/>
  <c r="N303" i="1"/>
  <c r="O303" i="1" s="1"/>
  <c r="P463" i="1"/>
  <c r="N463" i="1"/>
  <c r="O463" i="1" s="1"/>
  <c r="P77" i="1"/>
  <c r="N77" i="1"/>
  <c r="O77" i="1" s="1"/>
  <c r="P173" i="1"/>
  <c r="N173" i="1"/>
  <c r="O173" i="1" s="1"/>
  <c r="P237" i="1"/>
  <c r="N237" i="1"/>
  <c r="O237" i="1" s="1"/>
  <c r="P333" i="1"/>
  <c r="N333" i="1"/>
  <c r="O333" i="1" s="1"/>
  <c r="P397" i="1"/>
  <c r="N397" i="1"/>
  <c r="O397" i="1" s="1"/>
  <c r="P461" i="1"/>
  <c r="N461" i="1"/>
  <c r="O461" i="1" s="1"/>
  <c r="P525" i="1"/>
  <c r="N525" i="1"/>
  <c r="O525" i="1" s="1"/>
  <c r="P621" i="1"/>
  <c r="N621" i="1"/>
  <c r="O621" i="1" s="1"/>
  <c r="P667" i="1"/>
  <c r="N667" i="1"/>
  <c r="O667" i="1" s="1"/>
  <c r="P699" i="1"/>
  <c r="N699" i="1"/>
  <c r="O699" i="1" s="1"/>
  <c r="P16" i="1"/>
  <c r="N16" i="1"/>
  <c r="O16" i="1" s="1"/>
  <c r="P60" i="1"/>
  <c r="N60" i="1"/>
  <c r="O60" i="1" s="1"/>
  <c r="P88" i="1"/>
  <c r="N88" i="1"/>
  <c r="O88" i="1" s="1"/>
  <c r="P128" i="1"/>
  <c r="N128" i="1"/>
  <c r="O128" i="1" s="1"/>
  <c r="P168" i="1"/>
  <c r="N168" i="1"/>
  <c r="O168" i="1" s="1"/>
  <c r="P78" i="1"/>
  <c r="N78" i="1"/>
  <c r="O78" i="1" s="1"/>
  <c r="P174" i="1"/>
  <c r="N174" i="1"/>
  <c r="O174" i="1" s="1"/>
  <c r="P238" i="1"/>
  <c r="N238" i="1"/>
  <c r="O238" i="1" s="1"/>
  <c r="P334" i="1"/>
  <c r="N334" i="1"/>
  <c r="O334" i="1" s="1"/>
  <c r="P430" i="1"/>
  <c r="N430" i="1"/>
  <c r="O430" i="1" s="1"/>
  <c r="P526" i="1"/>
  <c r="N526" i="1"/>
  <c r="O526" i="1" s="1"/>
  <c r="P590" i="1"/>
  <c r="N590" i="1"/>
  <c r="O590" i="1" s="1"/>
  <c r="P668" i="1"/>
  <c r="N668" i="1"/>
  <c r="O668" i="1" s="1"/>
  <c r="P716" i="1"/>
  <c r="N716" i="1"/>
  <c r="O716" i="1" s="1"/>
  <c r="P18" i="1"/>
  <c r="N18" i="1"/>
  <c r="O18" i="1" s="1"/>
  <c r="P20" i="1"/>
  <c r="N20" i="1"/>
  <c r="O20" i="1" s="1"/>
  <c r="P36" i="1"/>
  <c r="N36" i="1"/>
  <c r="O36" i="1" s="1"/>
  <c r="P56" i="1"/>
  <c r="N56" i="1"/>
  <c r="O56" i="1" s="1"/>
  <c r="P92" i="1"/>
  <c r="N92" i="1"/>
  <c r="O92" i="1" s="1"/>
  <c r="P112" i="1"/>
  <c r="N112" i="1"/>
  <c r="O112" i="1" s="1"/>
  <c r="P132" i="1"/>
  <c r="N132" i="1"/>
  <c r="O132" i="1" s="1"/>
  <c r="P152" i="1"/>
  <c r="N152" i="1"/>
  <c r="O152" i="1" s="1"/>
  <c r="P172" i="1"/>
  <c r="N172" i="1"/>
  <c r="O172" i="1" s="1"/>
  <c r="P184" i="1"/>
  <c r="N184" i="1"/>
  <c r="O184" i="1" s="1"/>
  <c r="P192" i="1"/>
  <c r="N192" i="1"/>
  <c r="O192" i="1" s="1"/>
  <c r="P200" i="1"/>
  <c r="N200" i="1"/>
  <c r="O200" i="1" s="1"/>
  <c r="P212" i="1"/>
  <c r="N212" i="1"/>
  <c r="O212" i="1" s="1"/>
  <c r="P232" i="1"/>
  <c r="N232" i="1"/>
  <c r="O232" i="1" s="1"/>
  <c r="P248" i="1"/>
  <c r="N248" i="1"/>
  <c r="O248" i="1" s="1"/>
  <c r="P264" i="1"/>
  <c r="N264" i="1"/>
  <c r="O264" i="1" s="1"/>
  <c r="P284" i="1"/>
  <c r="N284" i="1"/>
  <c r="O284" i="1" s="1"/>
  <c r="P300" i="1"/>
  <c r="N300" i="1"/>
  <c r="O300" i="1" s="1"/>
  <c r="P316" i="1"/>
  <c r="N316" i="1"/>
  <c r="O316" i="1" s="1"/>
  <c r="P328" i="1"/>
  <c r="N328" i="1"/>
  <c r="O328" i="1" s="1"/>
  <c r="P356" i="1"/>
  <c r="N356" i="1"/>
  <c r="O356" i="1" s="1"/>
  <c r="P368" i="1"/>
  <c r="N368" i="1"/>
  <c r="O368" i="1" s="1"/>
  <c r="P384" i="1"/>
  <c r="N384" i="1"/>
  <c r="O384" i="1" s="1"/>
  <c r="P400" i="1"/>
  <c r="N400" i="1"/>
  <c r="O400" i="1" s="1"/>
  <c r="P420" i="1"/>
  <c r="N420" i="1"/>
  <c r="O420" i="1" s="1"/>
  <c r="P436" i="1"/>
  <c r="N436" i="1"/>
  <c r="O436" i="1" s="1"/>
  <c r="P444" i="1"/>
  <c r="N444" i="1"/>
  <c r="O444" i="1" s="1"/>
  <c r="P456" i="1"/>
  <c r="N456" i="1"/>
  <c r="O456" i="1" s="1"/>
  <c r="P468" i="1"/>
  <c r="N468" i="1"/>
  <c r="O468" i="1" s="1"/>
  <c r="P484" i="1"/>
  <c r="N484" i="1"/>
  <c r="O484" i="1" s="1"/>
  <c r="P500" i="1"/>
  <c r="N500" i="1"/>
  <c r="O500" i="1" s="1"/>
  <c r="P512" i="1"/>
  <c r="N512" i="1"/>
  <c r="O512" i="1" s="1"/>
  <c r="P41" i="1"/>
  <c r="N41" i="1"/>
  <c r="O41" i="1" s="1"/>
  <c r="P73" i="1"/>
  <c r="N73" i="1"/>
  <c r="O73" i="1" s="1"/>
  <c r="P105" i="1"/>
  <c r="N105" i="1"/>
  <c r="O105" i="1" s="1"/>
  <c r="P137" i="1"/>
  <c r="N137" i="1"/>
  <c r="O137" i="1" s="1"/>
  <c r="P169" i="1"/>
  <c r="N169" i="1"/>
  <c r="O169" i="1" s="1"/>
  <c r="P201" i="1"/>
  <c r="N201" i="1"/>
  <c r="O201" i="1" s="1"/>
  <c r="P233" i="1"/>
  <c r="N233" i="1"/>
  <c r="O233" i="1" s="1"/>
  <c r="P265" i="1"/>
  <c r="N265" i="1"/>
  <c r="O265" i="1" s="1"/>
  <c r="P297" i="1"/>
  <c r="N297" i="1"/>
  <c r="O297" i="1" s="1"/>
  <c r="P329" i="1"/>
  <c r="N329" i="1"/>
  <c r="O329" i="1" s="1"/>
  <c r="P361" i="1"/>
  <c r="N361" i="1"/>
  <c r="O361" i="1" s="1"/>
  <c r="P393" i="1"/>
  <c r="N393" i="1"/>
  <c r="O393" i="1" s="1"/>
  <c r="P425" i="1"/>
  <c r="N425" i="1"/>
  <c r="O425" i="1" s="1"/>
  <c r="P457" i="1"/>
  <c r="N457" i="1"/>
  <c r="O457" i="1" s="1"/>
  <c r="P489" i="1"/>
  <c r="N489" i="1"/>
  <c r="O489" i="1" s="1"/>
  <c r="P521" i="1"/>
  <c r="N521" i="1"/>
  <c r="O521" i="1" s="1"/>
  <c r="P553" i="1"/>
  <c r="N553" i="1"/>
  <c r="O553" i="1" s="1"/>
  <c r="P585" i="1"/>
  <c r="N585" i="1"/>
  <c r="O585" i="1" s="1"/>
  <c r="P617" i="1"/>
  <c r="N617" i="1"/>
  <c r="O617" i="1" s="1"/>
  <c r="P649" i="1"/>
  <c r="N649" i="1"/>
  <c r="O649" i="1" s="1"/>
  <c r="P665" i="1"/>
  <c r="N665" i="1"/>
  <c r="O665" i="1" s="1"/>
  <c r="P681" i="1"/>
  <c r="N681" i="1"/>
  <c r="O681" i="1" s="1"/>
  <c r="P697" i="1"/>
  <c r="N697" i="1"/>
  <c r="O697" i="1" s="1"/>
  <c r="P713" i="1"/>
  <c r="N713" i="1"/>
  <c r="O713" i="1" s="1"/>
  <c r="P729" i="1"/>
  <c r="N729" i="1"/>
  <c r="O729" i="1" s="1"/>
  <c r="P2" i="1"/>
  <c r="N2" i="1"/>
  <c r="O2" i="1" s="1"/>
  <c r="P133" i="1"/>
  <c r="N133" i="1"/>
  <c r="O133" i="1" s="1"/>
  <c r="P325" i="1"/>
  <c r="N325" i="1"/>
  <c r="O325" i="1" s="1"/>
  <c r="P485" i="1"/>
  <c r="N485" i="1"/>
  <c r="O485" i="1" s="1"/>
  <c r="P645" i="1"/>
  <c r="N645" i="1"/>
  <c r="O645" i="1" s="1"/>
  <c r="P711" i="1"/>
  <c r="N711" i="1"/>
  <c r="O711" i="1" s="1"/>
  <c r="P102" i="1"/>
  <c r="N102" i="1"/>
  <c r="O102" i="1" s="1"/>
  <c r="P230" i="1"/>
  <c r="N230" i="1"/>
  <c r="O230" i="1" s="1"/>
  <c r="P358" i="1"/>
  <c r="N358" i="1"/>
  <c r="O358" i="1" s="1"/>
  <c r="P518" i="1"/>
  <c r="N518" i="1"/>
  <c r="O518" i="1" s="1"/>
  <c r="P614" i="1"/>
  <c r="N614" i="1"/>
  <c r="O614" i="1" s="1"/>
  <c r="P728" i="1"/>
  <c r="N728" i="1"/>
  <c r="O728" i="1" s="1"/>
  <c r="P129" i="1"/>
  <c r="N129" i="1"/>
  <c r="O129" i="1" s="1"/>
  <c r="P289" i="1"/>
  <c r="N289" i="1"/>
  <c r="O289" i="1" s="1"/>
  <c r="P417" i="1"/>
  <c r="N417" i="1"/>
  <c r="O417" i="1" s="1"/>
  <c r="P609" i="1"/>
  <c r="N609" i="1"/>
  <c r="O609" i="1" s="1"/>
  <c r="P725" i="1"/>
  <c r="N725" i="1"/>
  <c r="O725" i="1" s="1"/>
  <c r="P55" i="1"/>
  <c r="N55" i="1"/>
  <c r="O55" i="1" s="1"/>
  <c r="P103" i="1"/>
  <c r="N103" i="1"/>
  <c r="O103" i="1" s="1"/>
  <c r="P151" i="1"/>
  <c r="N151" i="1"/>
  <c r="O151" i="1" s="1"/>
  <c r="P439" i="1"/>
  <c r="N439" i="1"/>
  <c r="O439" i="1" s="1"/>
  <c r="P109" i="1"/>
  <c r="N109" i="1"/>
  <c r="O109" i="1" s="1"/>
  <c r="P269" i="1"/>
  <c r="N269" i="1"/>
  <c r="O269" i="1" s="1"/>
  <c r="P429" i="1"/>
  <c r="N429" i="1"/>
  <c r="O429" i="1" s="1"/>
  <c r="P557" i="1"/>
  <c r="N557" i="1"/>
  <c r="O557" i="1" s="1"/>
  <c r="P683" i="1"/>
  <c r="N683" i="1"/>
  <c r="O683" i="1" s="1"/>
  <c r="P731" i="1"/>
  <c r="N731" i="1"/>
  <c r="O731" i="1" s="1"/>
  <c r="P44" i="1"/>
  <c r="N44" i="1"/>
  <c r="O44" i="1" s="1"/>
  <c r="P104" i="1"/>
  <c r="N104" i="1"/>
  <c r="O104" i="1" s="1"/>
  <c r="P156" i="1"/>
  <c r="N156" i="1"/>
  <c r="O156" i="1" s="1"/>
  <c r="P142" i="1"/>
  <c r="N142" i="1"/>
  <c r="O142" i="1" s="1"/>
  <c r="P302" i="1"/>
  <c r="N302" i="1"/>
  <c r="O302" i="1" s="1"/>
  <c r="P398" i="1"/>
  <c r="N398" i="1"/>
  <c r="O398" i="1" s="1"/>
  <c r="P494" i="1"/>
  <c r="N494" i="1"/>
  <c r="O494" i="1" s="1"/>
  <c r="P652" i="1"/>
  <c r="N652" i="1"/>
  <c r="O652" i="1" s="1"/>
  <c r="P700" i="1"/>
  <c r="N700" i="1"/>
  <c r="O700" i="1" s="1"/>
  <c r="P26" i="1"/>
  <c r="N26" i="1"/>
  <c r="O26" i="1" s="1"/>
  <c r="P72" i="1"/>
  <c r="N72" i="1"/>
  <c r="O72" i="1" s="1"/>
  <c r="P53" i="1"/>
  <c r="N53" i="1"/>
  <c r="O53" i="1" s="1"/>
  <c r="P85" i="1"/>
  <c r="N85" i="1"/>
  <c r="O85" i="1" s="1"/>
  <c r="P117" i="1"/>
  <c r="N117" i="1"/>
  <c r="O117" i="1" s="1"/>
  <c r="P149" i="1"/>
  <c r="N149" i="1"/>
  <c r="O149" i="1" s="1"/>
  <c r="P181" i="1"/>
  <c r="N181" i="1"/>
  <c r="O181" i="1" s="1"/>
  <c r="P213" i="1"/>
  <c r="N213" i="1"/>
  <c r="O213" i="1" s="1"/>
  <c r="P245" i="1"/>
  <c r="N245" i="1"/>
  <c r="O245" i="1" s="1"/>
  <c r="P277" i="1"/>
  <c r="N277" i="1"/>
  <c r="O277" i="1" s="1"/>
  <c r="P309" i="1"/>
  <c r="N309" i="1"/>
  <c r="O309" i="1" s="1"/>
  <c r="P341" i="1"/>
  <c r="N341" i="1"/>
  <c r="O341" i="1" s="1"/>
  <c r="P373" i="1"/>
  <c r="N373" i="1"/>
  <c r="O373" i="1" s="1"/>
  <c r="P405" i="1"/>
  <c r="N405" i="1"/>
  <c r="O405" i="1" s="1"/>
  <c r="P437" i="1"/>
  <c r="N437" i="1"/>
  <c r="O437" i="1" s="1"/>
  <c r="P469" i="1"/>
  <c r="N469" i="1"/>
  <c r="O469" i="1" s="1"/>
  <c r="P501" i="1"/>
  <c r="N501" i="1"/>
  <c r="O501" i="1" s="1"/>
  <c r="P533" i="1"/>
  <c r="N533" i="1"/>
  <c r="O533" i="1" s="1"/>
  <c r="P565" i="1"/>
  <c r="N565" i="1"/>
  <c r="O565" i="1" s="1"/>
  <c r="P597" i="1"/>
  <c r="N597" i="1"/>
  <c r="O597" i="1" s="1"/>
  <c r="P629" i="1"/>
  <c r="N629" i="1"/>
  <c r="O629" i="1" s="1"/>
  <c r="P655" i="1"/>
  <c r="N655" i="1"/>
  <c r="O655" i="1" s="1"/>
  <c r="P671" i="1"/>
  <c r="N671" i="1"/>
  <c r="O671" i="1" s="1"/>
  <c r="P687" i="1"/>
  <c r="N687" i="1"/>
  <c r="O687" i="1" s="1"/>
  <c r="P703" i="1"/>
  <c r="N703" i="1"/>
  <c r="O703" i="1" s="1"/>
  <c r="P719" i="1"/>
  <c r="N719" i="1"/>
  <c r="O719" i="1" s="1"/>
  <c r="P7" i="1"/>
  <c r="N7" i="1"/>
  <c r="O7" i="1" s="1"/>
  <c r="P54" i="1"/>
  <c r="N54" i="1"/>
  <c r="O54" i="1" s="1"/>
  <c r="P86" i="1"/>
  <c r="N86" i="1"/>
  <c r="O86" i="1" s="1"/>
  <c r="P118" i="1"/>
  <c r="N118" i="1"/>
  <c r="O118" i="1" s="1"/>
  <c r="P150" i="1"/>
  <c r="N150" i="1"/>
  <c r="O150" i="1" s="1"/>
  <c r="P182" i="1"/>
  <c r="N182" i="1"/>
  <c r="O182" i="1" s="1"/>
  <c r="P214" i="1"/>
  <c r="N214" i="1"/>
  <c r="O214" i="1" s="1"/>
  <c r="P246" i="1"/>
  <c r="N246" i="1"/>
  <c r="O246" i="1" s="1"/>
  <c r="P278" i="1"/>
  <c r="N278" i="1"/>
  <c r="O278" i="1" s="1"/>
  <c r="P310" i="1"/>
  <c r="N310" i="1"/>
  <c r="O310" i="1" s="1"/>
  <c r="P342" i="1"/>
  <c r="N342" i="1"/>
  <c r="O342" i="1" s="1"/>
  <c r="P374" i="1"/>
  <c r="N374" i="1"/>
  <c r="O374" i="1" s="1"/>
  <c r="P406" i="1"/>
  <c r="N406" i="1"/>
  <c r="O406" i="1" s="1"/>
  <c r="P438" i="1"/>
  <c r="N438" i="1"/>
  <c r="O438" i="1" s="1"/>
  <c r="P470" i="1"/>
  <c r="N470" i="1"/>
  <c r="O470" i="1" s="1"/>
  <c r="P502" i="1"/>
  <c r="N502" i="1"/>
  <c r="O502" i="1" s="1"/>
  <c r="P534" i="1"/>
  <c r="N534" i="1"/>
  <c r="O534" i="1" s="1"/>
  <c r="P566" i="1"/>
  <c r="N566" i="1"/>
  <c r="O566" i="1" s="1"/>
  <c r="P598" i="1"/>
  <c r="N598" i="1"/>
  <c r="O598" i="1" s="1"/>
  <c r="P630" i="1"/>
  <c r="N630" i="1"/>
  <c r="O630" i="1" s="1"/>
  <c r="P656" i="1"/>
  <c r="N656" i="1"/>
  <c r="O656" i="1" s="1"/>
  <c r="P672" i="1"/>
  <c r="N672" i="1"/>
  <c r="O672" i="1" s="1"/>
  <c r="P688" i="1"/>
  <c r="N688" i="1"/>
  <c r="O688" i="1" s="1"/>
  <c r="P704" i="1"/>
  <c r="N704" i="1"/>
  <c r="O704" i="1" s="1"/>
  <c r="P720" i="1"/>
  <c r="N720" i="1"/>
  <c r="O720" i="1" s="1"/>
  <c r="P8" i="1"/>
  <c r="N8" i="1"/>
  <c r="O8" i="1" s="1"/>
  <c r="P49" i="1"/>
  <c r="N49" i="1"/>
  <c r="O49" i="1" s="1"/>
  <c r="P81" i="1"/>
  <c r="N81" i="1"/>
  <c r="O81" i="1" s="1"/>
  <c r="P113" i="1"/>
  <c r="N113" i="1"/>
  <c r="O113" i="1" s="1"/>
  <c r="P145" i="1"/>
  <c r="N145" i="1"/>
  <c r="O145" i="1" s="1"/>
  <c r="P177" i="1"/>
  <c r="N177" i="1"/>
  <c r="O177" i="1" s="1"/>
  <c r="P209" i="1"/>
  <c r="N209" i="1"/>
  <c r="O209" i="1" s="1"/>
  <c r="P241" i="1"/>
  <c r="N241" i="1"/>
  <c r="O241" i="1" s="1"/>
  <c r="P273" i="1"/>
  <c r="N273" i="1"/>
  <c r="O273" i="1" s="1"/>
  <c r="P305" i="1"/>
  <c r="N305" i="1"/>
  <c r="O305" i="1" s="1"/>
  <c r="P337" i="1"/>
  <c r="N337" i="1"/>
  <c r="O337" i="1" s="1"/>
  <c r="P369" i="1"/>
  <c r="N369" i="1"/>
  <c r="O369" i="1" s="1"/>
  <c r="P401" i="1"/>
  <c r="N401" i="1"/>
  <c r="O401" i="1" s="1"/>
  <c r="P433" i="1"/>
  <c r="N433" i="1"/>
  <c r="O433" i="1" s="1"/>
  <c r="P465" i="1"/>
  <c r="N465" i="1"/>
  <c r="O465" i="1" s="1"/>
  <c r="P497" i="1"/>
  <c r="N497" i="1"/>
  <c r="O497" i="1" s="1"/>
  <c r="P529" i="1"/>
  <c r="N529" i="1"/>
  <c r="O529" i="1" s="1"/>
  <c r="P561" i="1"/>
  <c r="N561" i="1"/>
  <c r="O561" i="1" s="1"/>
  <c r="P593" i="1"/>
  <c r="N593" i="1"/>
  <c r="O593" i="1" s="1"/>
  <c r="P625" i="1"/>
  <c r="N625" i="1"/>
  <c r="O625" i="1" s="1"/>
  <c r="P653" i="1"/>
  <c r="N653" i="1"/>
  <c r="O653" i="1" s="1"/>
  <c r="P669" i="1"/>
  <c r="N669" i="1"/>
  <c r="O669" i="1" s="1"/>
  <c r="P685" i="1"/>
  <c r="N685" i="1"/>
  <c r="O685" i="1" s="1"/>
  <c r="P701" i="1"/>
  <c r="N701" i="1"/>
  <c r="O701" i="1" s="1"/>
  <c r="P717" i="1"/>
  <c r="N717" i="1"/>
  <c r="O717" i="1" s="1"/>
  <c r="P5" i="1"/>
  <c r="N5" i="1"/>
  <c r="O5" i="1" s="1"/>
  <c r="P19" i="1"/>
  <c r="N19" i="1"/>
  <c r="O19" i="1" s="1"/>
  <c r="P27" i="1"/>
  <c r="N27" i="1"/>
  <c r="O27" i="1" s="1"/>
  <c r="P35" i="1"/>
  <c r="N35" i="1"/>
  <c r="O35" i="1" s="1"/>
  <c r="P43" i="1"/>
  <c r="N43" i="1"/>
  <c r="O43" i="1" s="1"/>
  <c r="P51" i="1"/>
  <c r="N51" i="1"/>
  <c r="O51" i="1" s="1"/>
  <c r="P59" i="1"/>
  <c r="N59" i="1"/>
  <c r="O59" i="1" s="1"/>
  <c r="P67" i="1"/>
  <c r="N67" i="1"/>
  <c r="O67" i="1" s="1"/>
  <c r="P75" i="1"/>
  <c r="N75" i="1"/>
  <c r="O75" i="1" s="1"/>
  <c r="P83" i="1"/>
  <c r="N83" i="1"/>
  <c r="O83" i="1" s="1"/>
  <c r="P91" i="1"/>
  <c r="N91" i="1"/>
  <c r="O91" i="1" s="1"/>
  <c r="P99" i="1"/>
  <c r="N99" i="1"/>
  <c r="O99" i="1" s="1"/>
  <c r="P107" i="1"/>
  <c r="N107" i="1"/>
  <c r="O107" i="1" s="1"/>
  <c r="P115" i="1"/>
  <c r="N115" i="1"/>
  <c r="O115" i="1" s="1"/>
  <c r="P123" i="1"/>
  <c r="N123" i="1"/>
  <c r="O123" i="1" s="1"/>
  <c r="P131" i="1"/>
  <c r="N131" i="1"/>
  <c r="O131" i="1" s="1"/>
  <c r="P139" i="1"/>
  <c r="N139" i="1"/>
  <c r="O139" i="1" s="1"/>
  <c r="P147" i="1"/>
  <c r="N147" i="1"/>
  <c r="O147" i="1" s="1"/>
  <c r="P155" i="1"/>
  <c r="N155" i="1"/>
  <c r="O155" i="1" s="1"/>
  <c r="P163" i="1"/>
  <c r="N163" i="1"/>
  <c r="O163" i="1" s="1"/>
  <c r="P171" i="1"/>
  <c r="N171" i="1"/>
  <c r="O171" i="1" s="1"/>
  <c r="P179" i="1"/>
  <c r="N179" i="1"/>
  <c r="O179" i="1" s="1"/>
  <c r="P187" i="1"/>
  <c r="N187" i="1"/>
  <c r="O187" i="1" s="1"/>
  <c r="P195" i="1"/>
  <c r="N195" i="1"/>
  <c r="O195" i="1" s="1"/>
  <c r="P203" i="1"/>
  <c r="N203" i="1"/>
  <c r="O203" i="1" s="1"/>
  <c r="P211" i="1"/>
  <c r="N211" i="1"/>
  <c r="O211" i="1" s="1"/>
  <c r="P219" i="1"/>
  <c r="N219" i="1"/>
  <c r="O219" i="1" s="1"/>
  <c r="P227" i="1"/>
  <c r="N227" i="1"/>
  <c r="O227" i="1" s="1"/>
  <c r="P235" i="1"/>
  <c r="N235" i="1"/>
  <c r="O235" i="1" s="1"/>
  <c r="P243" i="1"/>
  <c r="N243" i="1"/>
  <c r="O243" i="1" s="1"/>
  <c r="P251" i="1"/>
  <c r="N251" i="1"/>
  <c r="O251" i="1" s="1"/>
  <c r="P259" i="1"/>
  <c r="N259" i="1"/>
  <c r="O259" i="1" s="1"/>
  <c r="P267" i="1"/>
  <c r="N267" i="1"/>
  <c r="O267" i="1" s="1"/>
  <c r="P275" i="1"/>
  <c r="N275" i="1"/>
  <c r="O275" i="1" s="1"/>
  <c r="P283" i="1"/>
  <c r="N283" i="1"/>
  <c r="O283" i="1" s="1"/>
  <c r="P291" i="1"/>
  <c r="N291" i="1"/>
  <c r="O291" i="1" s="1"/>
  <c r="P299" i="1"/>
  <c r="N299" i="1"/>
  <c r="O299" i="1" s="1"/>
  <c r="P307" i="1"/>
  <c r="N307" i="1"/>
  <c r="O307" i="1" s="1"/>
  <c r="P315" i="1"/>
  <c r="N315" i="1"/>
  <c r="O315" i="1" s="1"/>
  <c r="P323" i="1"/>
  <c r="N323" i="1"/>
  <c r="O323" i="1" s="1"/>
  <c r="P331" i="1"/>
  <c r="N331" i="1"/>
  <c r="O331" i="1" s="1"/>
  <c r="P339" i="1"/>
  <c r="N339" i="1"/>
  <c r="O339" i="1" s="1"/>
  <c r="P347" i="1"/>
  <c r="N347" i="1"/>
  <c r="O347" i="1" s="1"/>
  <c r="P355" i="1"/>
  <c r="N355" i="1"/>
  <c r="O355" i="1" s="1"/>
  <c r="P363" i="1"/>
  <c r="N363" i="1"/>
  <c r="O363" i="1" s="1"/>
  <c r="P371" i="1"/>
  <c r="N371" i="1"/>
  <c r="O371" i="1" s="1"/>
  <c r="P379" i="1"/>
  <c r="N379" i="1"/>
  <c r="O379" i="1" s="1"/>
  <c r="P387" i="1"/>
  <c r="N387" i="1"/>
  <c r="O387" i="1" s="1"/>
  <c r="P395" i="1"/>
  <c r="N395" i="1"/>
  <c r="O395" i="1" s="1"/>
  <c r="P403" i="1"/>
  <c r="N403" i="1"/>
  <c r="O403" i="1" s="1"/>
  <c r="P411" i="1"/>
  <c r="N411" i="1"/>
  <c r="O411" i="1" s="1"/>
  <c r="P419" i="1"/>
  <c r="N419" i="1"/>
  <c r="O419" i="1" s="1"/>
  <c r="P427" i="1"/>
  <c r="N427" i="1"/>
  <c r="O427" i="1" s="1"/>
  <c r="P435" i="1"/>
  <c r="N435" i="1"/>
  <c r="O435" i="1" s="1"/>
  <c r="P443" i="1"/>
  <c r="N443" i="1"/>
  <c r="O443" i="1" s="1"/>
  <c r="P451" i="1"/>
  <c r="N451" i="1"/>
  <c r="O451" i="1" s="1"/>
  <c r="P459" i="1"/>
  <c r="N459" i="1"/>
  <c r="O459" i="1" s="1"/>
  <c r="P467" i="1"/>
  <c r="N467" i="1"/>
  <c r="O467" i="1" s="1"/>
  <c r="P475" i="1"/>
  <c r="N475" i="1"/>
  <c r="O475" i="1" s="1"/>
  <c r="P483" i="1"/>
  <c r="N483" i="1"/>
  <c r="O483" i="1" s="1"/>
  <c r="P491" i="1"/>
  <c r="N491" i="1"/>
  <c r="O491" i="1" s="1"/>
  <c r="P499" i="1"/>
  <c r="N499" i="1"/>
  <c r="O499" i="1" s="1"/>
  <c r="P507" i="1"/>
  <c r="N507" i="1"/>
  <c r="O507" i="1" s="1"/>
  <c r="P515" i="1"/>
  <c r="N515" i="1"/>
  <c r="O515" i="1" s="1"/>
  <c r="P523" i="1"/>
  <c r="N523" i="1"/>
  <c r="O523" i="1" s="1"/>
  <c r="P531" i="1"/>
  <c r="N531" i="1"/>
  <c r="O531" i="1" s="1"/>
  <c r="P539" i="1"/>
  <c r="N539" i="1"/>
  <c r="O539" i="1" s="1"/>
  <c r="P547" i="1"/>
  <c r="N547" i="1"/>
  <c r="O547" i="1" s="1"/>
  <c r="P555" i="1"/>
  <c r="N555" i="1"/>
  <c r="O555" i="1" s="1"/>
  <c r="P563" i="1"/>
  <c r="N563" i="1"/>
  <c r="O563" i="1" s="1"/>
  <c r="P571" i="1"/>
  <c r="N571" i="1"/>
  <c r="O571" i="1" s="1"/>
  <c r="P579" i="1"/>
  <c r="N579" i="1"/>
  <c r="O579" i="1" s="1"/>
  <c r="P587" i="1"/>
  <c r="N587" i="1"/>
  <c r="O587" i="1" s="1"/>
  <c r="P595" i="1"/>
  <c r="N595" i="1"/>
  <c r="O595" i="1" s="1"/>
  <c r="P603" i="1"/>
  <c r="N603" i="1"/>
  <c r="O603" i="1" s="1"/>
  <c r="P611" i="1"/>
  <c r="N611" i="1"/>
  <c r="O611" i="1" s="1"/>
  <c r="P619" i="1"/>
  <c r="N619" i="1"/>
  <c r="O619" i="1" s="1"/>
  <c r="P627" i="1"/>
  <c r="N627" i="1"/>
  <c r="O627" i="1" s="1"/>
  <c r="P635" i="1"/>
  <c r="N635" i="1"/>
  <c r="O635" i="1" s="1"/>
  <c r="P643" i="1"/>
  <c r="N643" i="1"/>
  <c r="O643" i="1" s="1"/>
  <c r="P180" i="1"/>
  <c r="N180" i="1"/>
  <c r="O180" i="1" s="1"/>
  <c r="P216" i="1"/>
  <c r="N216" i="1"/>
  <c r="O216" i="1" s="1"/>
  <c r="P228" i="1"/>
  <c r="N228" i="1"/>
  <c r="O228" i="1" s="1"/>
  <c r="P244" i="1"/>
  <c r="N244" i="1"/>
  <c r="O244" i="1" s="1"/>
  <c r="P260" i="1"/>
  <c r="N260" i="1"/>
  <c r="O260" i="1" s="1"/>
  <c r="P272" i="1"/>
  <c r="N272" i="1"/>
  <c r="O272" i="1" s="1"/>
  <c r="P288" i="1"/>
  <c r="N288" i="1"/>
  <c r="O288" i="1" s="1"/>
  <c r="P304" i="1"/>
  <c r="N304" i="1"/>
  <c r="O304" i="1" s="1"/>
  <c r="P320" i="1"/>
  <c r="N320" i="1"/>
  <c r="O320" i="1" s="1"/>
  <c r="P336" i="1"/>
  <c r="N336" i="1"/>
  <c r="O336" i="1" s="1"/>
  <c r="P348" i="1"/>
  <c r="N348" i="1"/>
  <c r="O348" i="1" s="1"/>
  <c r="P364" i="1"/>
  <c r="N364" i="1"/>
  <c r="O364" i="1" s="1"/>
  <c r="P380" i="1"/>
  <c r="N380" i="1"/>
  <c r="O380" i="1" s="1"/>
  <c r="P396" i="1"/>
  <c r="N396" i="1"/>
  <c r="O396" i="1" s="1"/>
  <c r="P412" i="1"/>
  <c r="N412" i="1"/>
  <c r="O412" i="1" s="1"/>
  <c r="P424" i="1"/>
  <c r="N424" i="1"/>
  <c r="O424" i="1" s="1"/>
  <c r="P452" i="1"/>
  <c r="N452" i="1"/>
  <c r="O452" i="1" s="1"/>
  <c r="P476" i="1"/>
  <c r="N476" i="1"/>
  <c r="O476" i="1" s="1"/>
  <c r="P488" i="1"/>
  <c r="N488" i="1"/>
  <c r="O488" i="1" s="1"/>
  <c r="P508" i="1"/>
  <c r="N508" i="1"/>
  <c r="O508" i="1" s="1"/>
  <c r="P520" i="1"/>
  <c r="N520" i="1"/>
  <c r="O520" i="1" s="1"/>
  <c r="P528" i="1"/>
  <c r="N528" i="1"/>
  <c r="O528" i="1" s="1"/>
  <c r="P536" i="1"/>
  <c r="N536" i="1"/>
  <c r="O536" i="1" s="1"/>
  <c r="P544" i="1"/>
  <c r="N544" i="1"/>
  <c r="O544" i="1" s="1"/>
  <c r="P552" i="1"/>
  <c r="N552" i="1"/>
  <c r="O552" i="1" s="1"/>
  <c r="P560" i="1"/>
  <c r="N560" i="1"/>
  <c r="O560" i="1" s="1"/>
  <c r="P568" i="1"/>
  <c r="N568" i="1"/>
  <c r="O568" i="1" s="1"/>
  <c r="P576" i="1"/>
  <c r="N576" i="1"/>
  <c r="O576" i="1" s="1"/>
  <c r="P584" i="1"/>
  <c r="N584" i="1"/>
  <c r="O584" i="1" s="1"/>
  <c r="P592" i="1"/>
  <c r="N592" i="1"/>
  <c r="O592" i="1" s="1"/>
  <c r="P600" i="1"/>
  <c r="N600" i="1"/>
  <c r="O600" i="1" s="1"/>
  <c r="P608" i="1"/>
  <c r="N608" i="1"/>
  <c r="O608" i="1" s="1"/>
  <c r="P616" i="1"/>
  <c r="N616" i="1"/>
  <c r="O616" i="1" s="1"/>
  <c r="P624" i="1"/>
  <c r="N624" i="1"/>
  <c r="O624" i="1" s="1"/>
  <c r="P632" i="1"/>
  <c r="N632" i="1"/>
  <c r="O632" i="1" s="1"/>
  <c r="P640" i="1"/>
  <c r="N640" i="1"/>
  <c r="O640" i="1" s="1"/>
  <c r="P648" i="1"/>
  <c r="N648" i="1"/>
  <c r="O648" i="1" s="1"/>
  <c r="P37" i="1"/>
  <c r="N37" i="1"/>
  <c r="O37" i="1" s="1"/>
  <c r="P165" i="1"/>
  <c r="N165" i="1"/>
  <c r="O165" i="1" s="1"/>
  <c r="P261" i="1"/>
  <c r="N261" i="1"/>
  <c r="O261" i="1" s="1"/>
  <c r="P357" i="1"/>
  <c r="N357" i="1"/>
  <c r="O357" i="1" s="1"/>
  <c r="P453" i="1"/>
  <c r="N453" i="1"/>
  <c r="O453" i="1" s="1"/>
  <c r="P549" i="1"/>
  <c r="N549" i="1"/>
  <c r="O549" i="1" s="1"/>
  <c r="P679" i="1"/>
  <c r="N679" i="1"/>
  <c r="O679" i="1" s="1"/>
  <c r="P15" i="1"/>
  <c r="N15" i="1"/>
  <c r="O15" i="1" s="1"/>
  <c r="P38" i="1"/>
  <c r="N38" i="1"/>
  <c r="O38" i="1" s="1"/>
  <c r="P166" i="1"/>
  <c r="N166" i="1"/>
  <c r="O166" i="1" s="1"/>
  <c r="P262" i="1"/>
  <c r="N262" i="1"/>
  <c r="O262" i="1" s="1"/>
  <c r="P390" i="1"/>
  <c r="N390" i="1"/>
  <c r="O390" i="1" s="1"/>
  <c r="P486" i="1"/>
  <c r="N486" i="1"/>
  <c r="O486" i="1" s="1"/>
  <c r="P582" i="1"/>
  <c r="N582" i="1"/>
  <c r="O582" i="1" s="1"/>
  <c r="P680" i="1"/>
  <c r="N680" i="1"/>
  <c r="O680" i="1" s="1"/>
  <c r="P3" i="1"/>
  <c r="N3" i="1"/>
  <c r="O3" i="1" s="1"/>
  <c r="P65" i="1"/>
  <c r="N65" i="1"/>
  <c r="O65" i="1" s="1"/>
  <c r="P193" i="1"/>
  <c r="N193" i="1"/>
  <c r="O193" i="1" s="1"/>
  <c r="P257" i="1"/>
  <c r="N257" i="1"/>
  <c r="O257" i="1" s="1"/>
  <c r="P385" i="1"/>
  <c r="N385" i="1"/>
  <c r="O385" i="1" s="1"/>
  <c r="P513" i="1"/>
  <c r="N513" i="1"/>
  <c r="O513" i="1" s="1"/>
  <c r="P641" i="1"/>
  <c r="N641" i="1"/>
  <c r="O641" i="1" s="1"/>
  <c r="P693" i="1"/>
  <c r="N693" i="1"/>
  <c r="O693" i="1" s="1"/>
  <c r="P13" i="1"/>
  <c r="N13" i="1"/>
  <c r="O13" i="1" s="1"/>
  <c r="P39" i="1"/>
  <c r="N39" i="1"/>
  <c r="O39" i="1" s="1"/>
  <c r="P71" i="1"/>
  <c r="N71" i="1"/>
  <c r="O71" i="1" s="1"/>
  <c r="P95" i="1"/>
  <c r="N95" i="1"/>
  <c r="O95" i="1" s="1"/>
  <c r="P119" i="1"/>
  <c r="N119" i="1"/>
  <c r="O119" i="1" s="1"/>
  <c r="P135" i="1"/>
  <c r="N135" i="1"/>
  <c r="O135" i="1" s="1"/>
  <c r="P159" i="1"/>
  <c r="N159" i="1"/>
  <c r="O159" i="1" s="1"/>
  <c r="P183" i="1"/>
  <c r="N183" i="1"/>
  <c r="O183" i="1" s="1"/>
  <c r="P199" i="1"/>
  <c r="N199" i="1"/>
  <c r="O199" i="1" s="1"/>
  <c r="P231" i="1"/>
  <c r="N231" i="1"/>
  <c r="O231" i="1" s="1"/>
  <c r="P247" i="1"/>
  <c r="N247" i="1"/>
  <c r="O247" i="1" s="1"/>
  <c r="P271" i="1"/>
  <c r="N271" i="1"/>
  <c r="O271" i="1" s="1"/>
  <c r="P287" i="1"/>
  <c r="N287" i="1"/>
  <c r="O287" i="1" s="1"/>
  <c r="P311" i="1"/>
  <c r="N311" i="1"/>
  <c r="O311" i="1" s="1"/>
  <c r="P455" i="1"/>
  <c r="N455" i="1"/>
  <c r="O455" i="1" s="1"/>
  <c r="P45" i="1"/>
  <c r="N45" i="1"/>
  <c r="O45" i="1" s="1"/>
  <c r="P141" i="1"/>
  <c r="N141" i="1"/>
  <c r="O141" i="1" s="1"/>
  <c r="P205" i="1"/>
  <c r="N205" i="1"/>
  <c r="O205" i="1" s="1"/>
  <c r="P301" i="1"/>
  <c r="N301" i="1"/>
  <c r="O301" i="1" s="1"/>
  <c r="P365" i="1"/>
  <c r="N365" i="1"/>
  <c r="O365" i="1" s="1"/>
  <c r="P493" i="1"/>
  <c r="N493" i="1"/>
  <c r="O493" i="1" s="1"/>
  <c r="P589" i="1"/>
  <c r="N589" i="1"/>
  <c r="O589" i="1" s="1"/>
  <c r="P651" i="1"/>
  <c r="N651" i="1"/>
  <c r="O651" i="1" s="1"/>
  <c r="P715" i="1"/>
  <c r="N715" i="1"/>
  <c r="O715" i="1" s="1"/>
  <c r="P32" i="1"/>
  <c r="N32" i="1"/>
  <c r="O32" i="1" s="1"/>
  <c r="P76" i="1"/>
  <c r="N76" i="1"/>
  <c r="O76" i="1" s="1"/>
  <c r="P116" i="1"/>
  <c r="N116" i="1"/>
  <c r="O116" i="1" s="1"/>
  <c r="P140" i="1"/>
  <c r="N140" i="1"/>
  <c r="O140" i="1" s="1"/>
  <c r="P46" i="1"/>
  <c r="N46" i="1"/>
  <c r="O46" i="1" s="1"/>
  <c r="P110" i="1"/>
  <c r="N110" i="1"/>
  <c r="O110" i="1" s="1"/>
  <c r="P206" i="1"/>
  <c r="N206" i="1"/>
  <c r="O206" i="1" s="1"/>
  <c r="P270" i="1"/>
  <c r="N270" i="1"/>
  <c r="O270" i="1" s="1"/>
  <c r="P366" i="1"/>
  <c r="N366" i="1"/>
  <c r="O366" i="1" s="1"/>
  <c r="P462" i="1"/>
  <c r="N462" i="1"/>
  <c r="O462" i="1" s="1"/>
  <c r="P558" i="1"/>
  <c r="N558" i="1"/>
  <c r="O558" i="1" s="1"/>
  <c r="P622" i="1"/>
  <c r="N622" i="1"/>
  <c r="O622" i="1" s="1"/>
  <c r="P684" i="1"/>
  <c r="N684" i="1"/>
  <c r="O684" i="1" s="1"/>
  <c r="P4" i="1"/>
  <c r="N4" i="1"/>
  <c r="O4" i="1" s="1"/>
  <c r="P25" i="1"/>
  <c r="N25" i="1"/>
  <c r="O25" i="1" s="1"/>
  <c r="P61" i="1"/>
  <c r="N61" i="1"/>
  <c r="O61" i="1" s="1"/>
  <c r="P93" i="1"/>
  <c r="N93" i="1"/>
  <c r="O93" i="1" s="1"/>
  <c r="P125" i="1"/>
  <c r="N125" i="1"/>
  <c r="O125" i="1" s="1"/>
  <c r="P157" i="1"/>
  <c r="N157" i="1"/>
  <c r="O157" i="1" s="1"/>
  <c r="P221" i="1"/>
  <c r="N221" i="1"/>
  <c r="O221" i="1" s="1"/>
  <c r="P253" i="1"/>
  <c r="N253" i="1"/>
  <c r="O253" i="1" s="1"/>
  <c r="P285" i="1"/>
  <c r="N285" i="1"/>
  <c r="O285" i="1" s="1"/>
  <c r="P317" i="1"/>
  <c r="N317" i="1"/>
  <c r="O317" i="1" s="1"/>
  <c r="P349" i="1"/>
  <c r="N349" i="1"/>
  <c r="O349" i="1" s="1"/>
  <c r="P381" i="1"/>
  <c r="N381" i="1"/>
  <c r="O381" i="1" s="1"/>
  <c r="P413" i="1"/>
  <c r="N413" i="1"/>
  <c r="O413" i="1" s="1"/>
  <c r="P445" i="1"/>
  <c r="N445" i="1"/>
  <c r="O445" i="1" s="1"/>
  <c r="P477" i="1"/>
  <c r="N477" i="1"/>
  <c r="O477" i="1" s="1"/>
  <c r="P509" i="1"/>
  <c r="N509" i="1"/>
  <c r="O509" i="1" s="1"/>
  <c r="P541" i="1"/>
  <c r="N541" i="1"/>
  <c r="O541" i="1" s="1"/>
  <c r="P573" i="1"/>
  <c r="N573" i="1"/>
  <c r="O573" i="1" s="1"/>
  <c r="P605" i="1"/>
  <c r="N605" i="1"/>
  <c r="O605" i="1" s="1"/>
  <c r="P637" i="1"/>
  <c r="N637" i="1"/>
  <c r="O637" i="1" s="1"/>
  <c r="P659" i="1"/>
  <c r="N659" i="1"/>
  <c r="O659" i="1" s="1"/>
  <c r="P675" i="1"/>
  <c r="N675" i="1"/>
  <c r="O675" i="1" s="1"/>
  <c r="P691" i="1"/>
  <c r="N691" i="1"/>
  <c r="O691" i="1" s="1"/>
  <c r="P707" i="1"/>
  <c r="N707" i="1"/>
  <c r="O707" i="1" s="1"/>
  <c r="P723" i="1"/>
  <c r="N723" i="1"/>
  <c r="O723" i="1" s="1"/>
  <c r="P11" i="1"/>
  <c r="N11" i="1"/>
  <c r="O11" i="1" s="1"/>
  <c r="P40" i="1"/>
  <c r="N40" i="1"/>
  <c r="O40" i="1" s="1"/>
  <c r="P52" i="1"/>
  <c r="N52" i="1"/>
  <c r="O52" i="1" s="1"/>
  <c r="P68" i="1"/>
  <c r="N68" i="1"/>
  <c r="O68" i="1" s="1"/>
  <c r="P84" i="1"/>
  <c r="N84" i="1"/>
  <c r="O84" i="1" s="1"/>
  <c r="P96" i="1"/>
  <c r="N96" i="1"/>
  <c r="O96" i="1" s="1"/>
  <c r="P108" i="1"/>
  <c r="N108" i="1"/>
  <c r="O108" i="1" s="1"/>
  <c r="P124" i="1"/>
  <c r="N124" i="1"/>
  <c r="O124" i="1" s="1"/>
  <c r="P136" i="1"/>
  <c r="N136" i="1"/>
  <c r="O136" i="1" s="1"/>
  <c r="P148" i="1"/>
  <c r="N148" i="1"/>
  <c r="O148" i="1" s="1"/>
  <c r="P164" i="1"/>
  <c r="N164" i="1"/>
  <c r="O164" i="1" s="1"/>
  <c r="P29" i="1"/>
  <c r="N29" i="1"/>
  <c r="O29" i="1" s="1"/>
  <c r="P62" i="1"/>
  <c r="N62" i="1"/>
  <c r="O62" i="1" s="1"/>
  <c r="P94" i="1"/>
  <c r="N94" i="1"/>
  <c r="O94" i="1" s="1"/>
  <c r="P126" i="1"/>
  <c r="N126" i="1"/>
  <c r="O126" i="1" s="1"/>
  <c r="P158" i="1"/>
  <c r="N158" i="1"/>
  <c r="O158" i="1" s="1"/>
  <c r="P190" i="1"/>
  <c r="N190" i="1"/>
  <c r="O190" i="1" s="1"/>
  <c r="P222" i="1"/>
  <c r="N222" i="1"/>
  <c r="O222" i="1" s="1"/>
  <c r="P254" i="1"/>
  <c r="N254" i="1"/>
  <c r="O254" i="1" s="1"/>
  <c r="P286" i="1"/>
  <c r="N286" i="1"/>
  <c r="O286" i="1" s="1"/>
  <c r="P318" i="1"/>
  <c r="N318" i="1"/>
  <c r="O318" i="1" s="1"/>
  <c r="P350" i="1"/>
  <c r="N350" i="1"/>
  <c r="O350" i="1" s="1"/>
  <c r="P382" i="1"/>
  <c r="N382" i="1"/>
  <c r="O382" i="1" s="1"/>
  <c r="P414" i="1"/>
  <c r="N414" i="1"/>
  <c r="O414" i="1" s="1"/>
  <c r="P446" i="1"/>
  <c r="N446" i="1"/>
  <c r="O446" i="1" s="1"/>
  <c r="P478" i="1"/>
  <c r="N478" i="1"/>
  <c r="O478" i="1" s="1"/>
  <c r="P510" i="1"/>
  <c r="N510" i="1"/>
  <c r="O510" i="1" s="1"/>
  <c r="P542" i="1"/>
  <c r="N542" i="1"/>
  <c r="O542" i="1" s="1"/>
  <c r="P574" i="1"/>
  <c r="N574" i="1"/>
  <c r="O574" i="1" s="1"/>
  <c r="P606" i="1"/>
  <c r="N606" i="1"/>
  <c r="O606" i="1" s="1"/>
  <c r="P638" i="1"/>
  <c r="N638" i="1"/>
  <c r="O638" i="1" s="1"/>
  <c r="P660" i="1"/>
  <c r="N660" i="1"/>
  <c r="O660" i="1" s="1"/>
  <c r="P676" i="1"/>
  <c r="N676" i="1"/>
  <c r="O676" i="1" s="1"/>
  <c r="P692" i="1"/>
  <c r="N692" i="1"/>
  <c r="O692" i="1" s="1"/>
  <c r="P708" i="1"/>
  <c r="N708" i="1"/>
  <c r="O708" i="1" s="1"/>
  <c r="P724" i="1"/>
  <c r="N724" i="1"/>
  <c r="O724" i="1" s="1"/>
  <c r="P12" i="1"/>
  <c r="N12" i="1"/>
  <c r="O12" i="1" s="1"/>
  <c r="P22" i="1"/>
  <c r="N22" i="1"/>
  <c r="O22" i="1" s="1"/>
  <c r="P30" i="1"/>
  <c r="N30" i="1"/>
  <c r="O30" i="1" s="1"/>
  <c r="P28" i="1"/>
  <c r="N28" i="1"/>
  <c r="O28" i="1" s="1"/>
  <c r="P48" i="1"/>
  <c r="N48" i="1"/>
  <c r="O48" i="1" s="1"/>
  <c r="P64" i="1"/>
  <c r="N64" i="1"/>
  <c r="O64" i="1" s="1"/>
  <c r="P80" i="1"/>
  <c r="N80" i="1"/>
  <c r="O80" i="1" s="1"/>
  <c r="P100" i="1"/>
  <c r="N100" i="1"/>
  <c r="O100" i="1" s="1"/>
  <c r="P120" i="1"/>
  <c r="N120" i="1"/>
  <c r="O120" i="1" s="1"/>
  <c r="P144" i="1"/>
  <c r="N144" i="1"/>
  <c r="O144" i="1" s="1"/>
  <c r="P160" i="1"/>
  <c r="N160" i="1"/>
  <c r="O160" i="1" s="1"/>
  <c r="P176" i="1"/>
  <c r="N176" i="1"/>
  <c r="O176" i="1" s="1"/>
  <c r="P188" i="1"/>
  <c r="N188" i="1"/>
  <c r="O188" i="1" s="1"/>
  <c r="P196" i="1"/>
  <c r="N196" i="1"/>
  <c r="O196" i="1" s="1"/>
  <c r="P208" i="1"/>
  <c r="N208" i="1"/>
  <c r="O208" i="1" s="1"/>
  <c r="P224" i="1"/>
  <c r="N224" i="1"/>
  <c r="O224" i="1" s="1"/>
  <c r="P240" i="1"/>
  <c r="N240" i="1"/>
  <c r="O240" i="1" s="1"/>
  <c r="P256" i="1"/>
  <c r="N256" i="1"/>
  <c r="O256" i="1" s="1"/>
  <c r="P276" i="1"/>
  <c r="N276" i="1"/>
  <c r="O276" i="1" s="1"/>
  <c r="P292" i="1"/>
  <c r="N292" i="1"/>
  <c r="O292" i="1" s="1"/>
  <c r="P308" i="1"/>
  <c r="N308" i="1"/>
  <c r="O308" i="1" s="1"/>
  <c r="P324" i="1"/>
  <c r="N324" i="1"/>
  <c r="O324" i="1" s="1"/>
  <c r="P344" i="1"/>
  <c r="N344" i="1"/>
  <c r="O344" i="1" s="1"/>
  <c r="P360" i="1"/>
  <c r="N360" i="1"/>
  <c r="O360" i="1" s="1"/>
  <c r="P376" i="1"/>
  <c r="N376" i="1"/>
  <c r="O376" i="1" s="1"/>
  <c r="P392" i="1"/>
  <c r="N392" i="1"/>
  <c r="O392" i="1" s="1"/>
  <c r="P408" i="1"/>
  <c r="N408" i="1"/>
  <c r="O408" i="1" s="1"/>
  <c r="P428" i="1"/>
  <c r="N428" i="1"/>
  <c r="O428" i="1" s="1"/>
  <c r="P440" i="1"/>
  <c r="N440" i="1"/>
  <c r="O440" i="1" s="1"/>
  <c r="P448" i="1"/>
  <c r="N448" i="1"/>
  <c r="O448" i="1" s="1"/>
  <c r="P464" i="1"/>
  <c r="N464" i="1"/>
  <c r="O464" i="1" s="1"/>
  <c r="P472" i="1"/>
  <c r="N472" i="1"/>
  <c r="O472" i="1" s="1"/>
  <c r="P492" i="1"/>
  <c r="N492" i="1"/>
  <c r="O492" i="1" s="1"/>
  <c r="P504" i="1"/>
  <c r="N504" i="1"/>
  <c r="O504" i="1" s="1"/>
  <c r="P17" i="1"/>
  <c r="N17" i="1"/>
  <c r="O17" i="1" s="1"/>
  <c r="P57" i="1"/>
  <c r="N57" i="1"/>
  <c r="O57" i="1" s="1"/>
  <c r="P89" i="1"/>
  <c r="N89" i="1"/>
  <c r="O89" i="1" s="1"/>
  <c r="P121" i="1"/>
  <c r="N121" i="1"/>
  <c r="O121" i="1" s="1"/>
  <c r="P153" i="1"/>
  <c r="N153" i="1"/>
  <c r="O153" i="1" s="1"/>
  <c r="P185" i="1"/>
  <c r="N185" i="1"/>
  <c r="O185" i="1" s="1"/>
  <c r="P217" i="1"/>
  <c r="N217" i="1"/>
  <c r="O217" i="1" s="1"/>
  <c r="P249" i="1"/>
  <c r="N249" i="1"/>
  <c r="O249" i="1" s="1"/>
  <c r="P281" i="1"/>
  <c r="N281" i="1"/>
  <c r="O281" i="1" s="1"/>
  <c r="P313" i="1"/>
  <c r="N313" i="1"/>
  <c r="O313" i="1" s="1"/>
  <c r="P345" i="1"/>
  <c r="N345" i="1"/>
  <c r="O345" i="1" s="1"/>
  <c r="P377" i="1"/>
  <c r="N377" i="1"/>
  <c r="O377" i="1" s="1"/>
  <c r="P409" i="1"/>
  <c r="N409" i="1"/>
  <c r="O409" i="1" s="1"/>
  <c r="P441" i="1"/>
  <c r="N441" i="1"/>
  <c r="O441" i="1" s="1"/>
  <c r="P473" i="1"/>
  <c r="N473" i="1"/>
  <c r="O473" i="1" s="1"/>
  <c r="P505" i="1"/>
  <c r="N505" i="1"/>
  <c r="O505" i="1" s="1"/>
  <c r="P537" i="1"/>
  <c r="N537" i="1"/>
  <c r="O537" i="1" s="1"/>
  <c r="P569" i="1"/>
  <c r="N569" i="1"/>
  <c r="O569" i="1" s="1"/>
  <c r="P601" i="1"/>
  <c r="N601" i="1"/>
  <c r="O601" i="1" s="1"/>
  <c r="P633" i="1"/>
  <c r="N633" i="1"/>
  <c r="O633" i="1" s="1"/>
  <c r="P657" i="1"/>
  <c r="N657" i="1"/>
  <c r="O657" i="1" s="1"/>
  <c r="P673" i="1"/>
  <c r="N673" i="1"/>
  <c r="O673" i="1" s="1"/>
  <c r="P689" i="1"/>
  <c r="N689" i="1"/>
  <c r="O689" i="1" s="1"/>
  <c r="P705" i="1"/>
  <c r="N705" i="1"/>
  <c r="O705" i="1" s="1"/>
  <c r="P721" i="1"/>
  <c r="N721" i="1"/>
  <c r="O721" i="1" s="1"/>
  <c r="P9" i="1"/>
  <c r="N9" i="1"/>
  <c r="O9" i="1" s="1"/>
</calcChain>
</file>

<file path=xl/sharedStrings.xml><?xml version="1.0" encoding="utf-8"?>
<sst xmlns="http://schemas.openxmlformats.org/spreadsheetml/2006/main" count="2937" uniqueCount="399">
  <si>
    <t>Date</t>
  </si>
  <si>
    <t>Region</t>
  </si>
  <si>
    <t>Product</t>
  </si>
  <si>
    <t>Channel</t>
  </si>
  <si>
    <t>Logistics_Cost</t>
  </si>
  <si>
    <t>Manufacturing_Cost</t>
  </si>
  <si>
    <t>Total_Cost</t>
  </si>
  <si>
    <t>Price_Per_Unit</t>
  </si>
  <si>
    <t>Discount</t>
  </si>
  <si>
    <t>Units_Sold</t>
  </si>
  <si>
    <t>Returned_Units</t>
  </si>
  <si>
    <t>Revenue</t>
  </si>
  <si>
    <t>Net-Revenue</t>
  </si>
  <si>
    <t>2025-01-01</t>
  </si>
  <si>
    <t>East</t>
  </si>
  <si>
    <t>Accessories</t>
  </si>
  <si>
    <t>2025-01-02</t>
  </si>
  <si>
    <t>North</t>
  </si>
  <si>
    <t>Mobile</t>
  </si>
  <si>
    <t>2025-01-03</t>
  </si>
  <si>
    <t>West</t>
  </si>
  <si>
    <t>Tablet</t>
  </si>
  <si>
    <t>2025-04-01</t>
  </si>
  <si>
    <t>2025-01-05</t>
  </si>
  <si>
    <t>2025-01-06</t>
  </si>
  <si>
    <t>2025-01-07</t>
  </si>
  <si>
    <t>South</t>
  </si>
  <si>
    <t>2025-01-08</t>
  </si>
  <si>
    <t>2025-01-09</t>
  </si>
  <si>
    <t>Laptop</t>
  </si>
  <si>
    <t>2025-01-10</t>
  </si>
  <si>
    <t>Mobile_V2</t>
  </si>
  <si>
    <t>2025-01-11</t>
  </si>
  <si>
    <t>2025-01-12</t>
  </si>
  <si>
    <t>2025-01-13</t>
  </si>
  <si>
    <t>2025-01-14</t>
  </si>
  <si>
    <t>2025-01-15</t>
  </si>
  <si>
    <t>2025-01-16</t>
  </si>
  <si>
    <t>Tablet_V2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</si>
  <si>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</si>
  <si>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</si>
  <si>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</si>
  <si>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</si>
  <si>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</si>
  <si>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</si>
  <si>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</si>
  <si>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</si>
  <si>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</si>
  <si>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</si>
  <si>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</si>
  <si>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</si>
  <si>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</si>
  <si>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</si>
  <si>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</si>
  <si>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</si>
  <si>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</si>
  <si>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</si>
  <si>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</si>
  <si>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</si>
  <si>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</si>
  <si>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</si>
  <si>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</si>
  <si>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</si>
  <si>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</si>
  <si>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</si>
  <si>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</si>
  <si>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</si>
  <si>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</si>
  <si>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</si>
  <si>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</si>
  <si>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</si>
  <si>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</si>
  <si>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</si>
  <si>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</si>
  <si>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Laptop_V2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</si>
  <si>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</si>
  <si>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</si>
  <si>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</si>
  <si>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</si>
  <si>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</si>
  <si>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</si>
  <si>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</si>
  <si>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</si>
  <si>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</si>
  <si>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</si>
  <si>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</si>
  <si>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</si>
  <si>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</si>
  <si>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</si>
  <si>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</si>
  <si>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</si>
  <si>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</si>
  <si>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</si>
  <si>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</si>
  <si>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</si>
  <si>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</si>
  <si>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</si>
  <si>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</si>
  <si>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</si>
  <si>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</si>
  <si>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</si>
  <si>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</si>
  <si>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</si>
  <si>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</si>
  <si>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</si>
  <si>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</si>
  <si>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</si>
  <si>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</si>
  <si>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</si>
  <si>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</si>
  <si>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</si>
  <si>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</si>
  <si>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</si>
  <si>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</si>
  <si>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</si>
  <si>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</si>
  <si>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</si>
  <si>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</si>
  <si>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</si>
  <si>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</si>
  <si>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</si>
  <si>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</si>
  <si>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Accessories_V2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</si>
  <si>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</si>
  <si>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</si>
  <si>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</si>
  <si>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</si>
  <si>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</si>
  <si>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</si>
  <si>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</si>
  <si>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</si>
  <si>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</si>
  <si>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</si>
  <si>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</si>
  <si>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</si>
  <si>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</si>
  <si>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</si>
  <si>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</si>
  <si>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</si>
  <si>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</si>
  <si>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</si>
  <si>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</si>
  <si>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</si>
  <si>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</si>
  <si>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</si>
  <si>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</si>
  <si>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</si>
  <si>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</si>
  <si>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</si>
  <si>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</si>
  <si>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</si>
  <si>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</si>
  <si>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</si>
  <si>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</si>
  <si>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</si>
  <si>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</si>
  <si>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</si>
  <si>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</si>
  <si>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</si>
  <si>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</si>
  <si>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</si>
  <si>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</si>
  <si>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</si>
  <si>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</si>
  <si>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</si>
  <si>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</si>
  <si>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</si>
  <si>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</si>
  <si>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</si>
  <si>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</si>
  <si>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</si>
  <si>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</si>
  <si>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</si>
  <si>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</si>
  <si>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</si>
  <si>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</si>
  <si>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</si>
  <si>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</si>
  <si>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</si>
  <si>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</si>
  <si>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</si>
  <si>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</si>
  <si>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</si>
  <si>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</si>
  <si>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</si>
  <si>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</si>
  <si>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</si>
  <si>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</si>
  <si>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</si>
  <si>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</si>
  <si>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</si>
  <si>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</si>
  <si>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</si>
  <si>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</si>
  <si>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</si>
  <si>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</si>
  <si>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</si>
  <si>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</si>
  <si>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</si>
  <si>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</si>
  <si>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</si>
  <si>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</si>
  <si>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</si>
  <si>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</si>
  <si>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</si>
  <si>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</si>
  <si>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</si>
  <si>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</si>
  <si>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</si>
  <si>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</si>
  <si>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</si>
  <si>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</si>
  <si>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</si>
  <si>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</si>
  <si>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</si>
  <si>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</si>
  <si>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</si>
  <si>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</si>
  <si>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</si>
  <si>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</si>
  <si>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</si>
  <si>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</si>
  <si>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</si>
  <si>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</si>
  <si>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</si>
  <si>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</si>
  <si>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</si>
  <si>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</si>
  <si>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</si>
  <si>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</si>
  <si>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</si>
  <si>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</si>
  <si>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</si>
  <si>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</si>
  <si>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</si>
  <si>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</si>
  <si>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</si>
  <si>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</si>
  <si>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</si>
  <si>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</si>
  <si>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</si>
  <si>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</si>
  <si>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</si>
  <si>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</si>
  <si>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</si>
  <si>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</si>
  <si>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</si>
  <si>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</si>
  <si>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</si>
  <si>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</si>
  <si>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</si>
  <si>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</si>
  <si>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</si>
  <si>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</si>
  <si>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</si>
  <si>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</si>
  <si>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</si>
  <si>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</si>
  <si>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</si>
  <si>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</si>
  <si>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</si>
  <si>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</si>
  <si>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</si>
  <si>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</si>
  <si>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</si>
  <si>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</si>
  <si>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</si>
  <si>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</si>
  <si>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</si>
  <si>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</si>
  <si>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</si>
  <si>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</si>
  <si>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</si>
  <si>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</si>
  <si>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</si>
  <si>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</si>
  <si>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</si>
  <si>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</si>
  <si>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</si>
  <si>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</si>
  <si>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</si>
  <si>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</si>
  <si>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</si>
  <si>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</si>
  <si>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</si>
  <si>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</si>
  <si>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</si>
  <si>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</si>
  <si>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</si>
  <si>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</si>
  <si>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</si>
  <si>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</si>
  <si>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</si>
  <si>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</si>
  <si>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</si>
  <si>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</si>
  <si>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</si>
  <si>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</si>
  <si>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</si>
  <si>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</si>
  <si>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</si>
  <si>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</si>
  <si>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</si>
  <si>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</si>
  <si>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</si>
  <si>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</si>
  <si>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</si>
  <si>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</si>
  <si>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</si>
  <si>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</si>
  <si>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</si>
  <si>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</si>
  <si>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</si>
  <si>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</si>
  <si>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</si>
  <si>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</si>
  <si>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</si>
  <si>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</si>
  <si>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</si>
  <si>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</si>
  <si>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</si>
  <si>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</si>
  <si>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</si>
  <si>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</si>
  <si>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</si>
  <si>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</si>
  <si>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</si>
  <si>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</si>
  <si>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</si>
  <si>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</si>
  <si>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</si>
  <si>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</si>
  <si>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</si>
  <si>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</si>
  <si>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</si>
  <si>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</si>
  <si>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</si>
  <si>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</si>
  <si>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</si>
  <si>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</si>
  <si>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</si>
  <si>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</si>
  <si>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</si>
  <si>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</si>
  <si>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</si>
  <si>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</si>
  <si>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</si>
  <si>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</si>
  <si>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</si>
  <si>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</si>
  <si>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</si>
  <si>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</si>
  <si>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</si>
  <si>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</si>
  <si>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</si>
  <si>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</si>
  <si>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</si>
  <si>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</si>
  <si>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</si>
  <si>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</si>
  <si>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</si>
  <si>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</si>
  <si>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</si>
  <si>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</si>
  <si>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</si>
  <si>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</si>
  <si>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</si>
  <si>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</si>
  <si>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</si>
  <si>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</si>
  <si>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</si>
  <si>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</si>
  <si>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</si>
  <si>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</si>
  <si>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</si>
  <si>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</si>
  <si>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</si>
  <si>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</si>
  <si>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</si>
  <si>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</si>
  <si>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</si>
  <si>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</si>
  <si>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</si>
  <si>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</si>
  <si>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</si>
  <si>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</si>
  <si>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</si>
  <si>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</si>
  <si>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</si>
  <si>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2025-01-04</t>
  </si>
  <si>
    <t>EAST</t>
  </si>
  <si>
    <t>Online</t>
  </si>
  <si>
    <t>Offline</t>
  </si>
  <si>
    <t>offline</t>
  </si>
  <si>
    <t>online</t>
  </si>
  <si>
    <t>Real Profit</t>
  </si>
  <si>
    <t>Profit Margin (%)</t>
  </si>
  <si>
    <t>Return (%)</t>
  </si>
  <si>
    <t>Discount Depth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</si>
</sst>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0" fontId="1" fillId="2" borderId="1" xfId="0" applyNumberFormat="1" applyFont="1" applyFill="1" applyBorder="1" applyAlignment="1">
      <alignment horizontal="center" vertical="top"/>
    </xf>
    <xf numFmtId="10" fontId="0" fillId="0" borderId="1" xfId="0" applyNumberFormat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31"/>
  <sheetViews>
    <sheetView tabSelected="1" topLeftCell="A1048231" workbookViewId="0">
      <selection activeCell="H1048570" sqref="H1048570"/>
    </sheetView>
  </sheetViews>
  <sheetFormatPr defaultRowHeight="14.25"/>
  <cols>
    <col min="1" max="1" width="10.375" bestFit="1" customWidth="1"/>
    <col min="2" max="2" width="6.75" bestFit="1" customWidth="1"/>
    <col min="3" max="3" width="13.625" bestFit="1" customWidth="1"/>
    <col min="4" max="4" width="7.875" bestFit="1" customWidth="1"/>
    <col min="5" max="5" width="12.625" bestFit="1" customWidth="1"/>
    <col min="6" max="6" width="19" bestFit="1" customWidth="1"/>
    <col min="7" max="7" width="10.5" bestFit="1" customWidth="1"/>
    <col min="8" max="8" width="14.375" bestFit="1" customWidth="1"/>
    <col min="9" max="9" width="8.75" bestFit="1" customWidth="1"/>
    <col min="10" max="10" width="10.5" bestFit="1" customWidth="1"/>
    <col min="11" max="11" width="10.875" bestFit="1" customWidth="1"/>
    <col min="12" max="12" width="15" bestFit="1" customWidth="1"/>
    <col min="13" max="13" width="12.75" bestFit="1" customWidth="1"/>
    <col min="14" max="14" width="10.875" bestFit="1" customWidth="1"/>
    <col min="15" max="15" width="15.875" style="5" bestFit="1" customWidth="1"/>
    <col min="16" max="16" width="12.5" style="5" bestFit="1" customWidth="1"/>
    <col min="17" max="17" width="18.25" style="5" bestFit="1" customWidth="1"/>
  </cols>
  <sheetData>
    <row r="1" spans="1:17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10</v>
      </c>
      <c r="M1" s="2" t="s">
        <v>12</v>
      </c>
      <c r="N1" s="2" t="s">
        <v>395</v>
      </c>
      <c r="O1" s="3" t="s">
        <v>396</v>
      </c>
      <c r="P1" s="3" t="s">
        <v>397</v>
      </c>
      <c r="Q1" s="3" t="s">
        <v>398</v>
      </c>
    </row>
    <row r="2" spans="1:17">
      <c r="A2" s="1" t="s">
        <v>13</v>
      </c>
      <c r="B2" s="1" t="s">
        <v>14</v>
      </c>
      <c r="C2" s="1" t="s">
        <v>15</v>
      </c>
      <c r="D2" s="1" t="s">
        <v>391</v>
      </c>
      <c r="E2" s="1">
        <v>13898</v>
      </c>
      <c r="F2" s="1">
        <v>159875</v>
      </c>
      <c r="G2" s="1">
        <f>E2+F2</f>
        <v>173773</v>
      </c>
      <c r="H2" s="1">
        <v>65776</v>
      </c>
      <c r="I2" s="1">
        <v>10</v>
      </c>
      <c r="J2" s="1">
        <v>1</v>
      </c>
      <c r="K2" s="1">
        <f>SUM(J2*H2)-SUM(J2*H2)*I2/100</f>
        <v>59198.400000000001</v>
      </c>
      <c r="L2" s="1">
        <v>5</v>
      </c>
      <c r="M2" s="1">
        <f>K2-H2*L2</f>
        <v>-269681.59999999998</v>
      </c>
      <c r="N2" s="1">
        <f>M2-G2</f>
        <v>-443454.6</v>
      </c>
      <c r="O2" s="4">
        <f>SUM(N2/ABS(M2))</f>
        <v>-1.6443635754163428</v>
      </c>
      <c r="P2" s="4">
        <f>SUM(H2*L2)/M2*100</f>
        <v>-121.95121951219514</v>
      </c>
      <c r="Q2" s="4">
        <f>I2/K2*100</f>
        <v>1.689234844184978E-2</v>
      </c>
    </row>
    <row r="3" spans="1:17">
      <c r="A3" s="1" t="s">
        <v>16</v>
      </c>
      <c r="B3" s="1" t="s">
        <v>17</v>
      </c>
      <c r="C3" s="1" t="s">
        <v>18</v>
      </c>
      <c r="D3" s="1" t="s">
        <v>391</v>
      </c>
      <c r="E3" s="1">
        <v>22323</v>
      </c>
      <c r="F3" s="1">
        <v>211600</v>
      </c>
      <c r="G3" s="1">
        <f t="shared" ref="G3:G66" si="0">E3+F3</f>
        <v>233923</v>
      </c>
      <c r="H3" s="1">
        <v>23910</v>
      </c>
      <c r="I3" s="1">
        <v>0</v>
      </c>
      <c r="J3" s="1">
        <v>66</v>
      </c>
      <c r="K3" s="1">
        <f>H3*J3</f>
        <v>1578060</v>
      </c>
      <c r="L3" s="1">
        <v>38</v>
      </c>
      <c r="M3" s="1">
        <f>K3-H3*L3</f>
        <v>669480</v>
      </c>
      <c r="N3" s="1">
        <f>M3-G3</f>
        <v>435557</v>
      </c>
      <c r="O3" s="4">
        <f t="shared" ref="O3:O66" si="1">SUM(N3/ABS(M3))</f>
        <v>0.65059001015713691</v>
      </c>
      <c r="P3" s="4">
        <f t="shared" ref="P3:P66" si="2">SUM(H3*L3)/M3*100</f>
        <v>135.71428571428572</v>
      </c>
      <c r="Q3" s="4">
        <f t="shared" ref="Q3:Q66" si="3">I3/K3*100</f>
        <v>0</v>
      </c>
    </row>
    <row r="4" spans="1:17">
      <c r="A4" s="1" t="s">
        <v>19</v>
      </c>
      <c r="B4" s="1" t="s">
        <v>20</v>
      </c>
      <c r="C4" s="1" t="s">
        <v>21</v>
      </c>
      <c r="D4" s="1" t="s">
        <v>391</v>
      </c>
      <c r="E4" s="1">
        <v>5671</v>
      </c>
      <c r="F4" s="1">
        <v>397266</v>
      </c>
      <c r="G4" s="1">
        <f t="shared" si="0"/>
        <v>402937</v>
      </c>
      <c r="H4" s="1">
        <v>25069</v>
      </c>
      <c r="I4" s="1">
        <v>5</v>
      </c>
      <c r="J4" s="1">
        <v>57</v>
      </c>
      <c r="K4" s="1">
        <f>H4*J4</f>
        <v>1428933</v>
      </c>
      <c r="L4" s="1">
        <v>5</v>
      </c>
      <c r="M4" s="1">
        <f t="shared" ref="M4:M67" si="4">K4-H4*L4</f>
        <v>1303588</v>
      </c>
      <c r="N4" s="1">
        <f t="shared" ref="N4:N67" si="5">M4-G4</f>
        <v>900651</v>
      </c>
      <c r="O4" s="4">
        <f t="shared" si="1"/>
        <v>0.69090157319643941</v>
      </c>
      <c r="P4" s="4">
        <f t="shared" si="2"/>
        <v>9.6153846153846168</v>
      </c>
      <c r="Q4" s="4">
        <f t="shared" si="3"/>
        <v>3.4991143741519023E-4</v>
      </c>
    </row>
    <row r="5" spans="1:17">
      <c r="A5" s="1" t="s">
        <v>22</v>
      </c>
      <c r="B5" s="1" t="s">
        <v>20</v>
      </c>
      <c r="C5" s="1" t="s">
        <v>18</v>
      </c>
      <c r="D5" s="1" t="s">
        <v>391</v>
      </c>
      <c r="E5" s="1">
        <v>42553</v>
      </c>
      <c r="F5" s="1">
        <v>386378</v>
      </c>
      <c r="G5" s="1">
        <f t="shared" si="0"/>
        <v>428931</v>
      </c>
      <c r="H5" s="1">
        <v>74808</v>
      </c>
      <c r="I5" s="1">
        <v>15</v>
      </c>
      <c r="J5" s="1">
        <v>138</v>
      </c>
      <c r="K5" s="1">
        <f t="shared" ref="K5:K68" si="6">H5*J5</f>
        <v>10323504</v>
      </c>
      <c r="L5" s="1">
        <v>22</v>
      </c>
      <c r="M5" s="1">
        <f t="shared" si="4"/>
        <v>8677728</v>
      </c>
      <c r="N5" s="1">
        <f t="shared" si="5"/>
        <v>8248797</v>
      </c>
      <c r="O5" s="4">
        <f t="shared" si="1"/>
        <v>0.95057104809000692</v>
      </c>
      <c r="P5" s="4">
        <f t="shared" si="2"/>
        <v>18.96551724137931</v>
      </c>
      <c r="Q5" s="4">
        <f t="shared" si="3"/>
        <v>1.4529950295946026E-4</v>
      </c>
    </row>
    <row r="6" spans="1:17">
      <c r="A6" s="1" t="s">
        <v>23</v>
      </c>
      <c r="B6" s="1" t="s">
        <v>20</v>
      </c>
      <c r="C6" s="1" t="s">
        <v>18</v>
      </c>
      <c r="D6" s="1" t="s">
        <v>392</v>
      </c>
      <c r="E6" s="1">
        <v>26263</v>
      </c>
      <c r="F6" s="1">
        <v>207206</v>
      </c>
      <c r="G6" s="1">
        <f t="shared" si="0"/>
        <v>233469</v>
      </c>
      <c r="H6" s="1">
        <v>11278</v>
      </c>
      <c r="I6" s="1">
        <v>5</v>
      </c>
      <c r="J6" s="1">
        <v>84</v>
      </c>
      <c r="K6" s="1">
        <f t="shared" si="6"/>
        <v>947352</v>
      </c>
      <c r="L6" s="1">
        <v>4</v>
      </c>
      <c r="M6" s="1">
        <f t="shared" si="4"/>
        <v>902240</v>
      </c>
      <c r="N6" s="1">
        <f t="shared" si="5"/>
        <v>668771</v>
      </c>
      <c r="O6" s="4">
        <f t="shared" si="1"/>
        <v>0.74123403972335522</v>
      </c>
      <c r="P6" s="4">
        <f t="shared" si="2"/>
        <v>5</v>
      </c>
      <c r="Q6" s="4">
        <f t="shared" si="3"/>
        <v>5.2778692608449656E-4</v>
      </c>
    </row>
    <row r="7" spans="1:17">
      <c r="A7" s="1" t="s">
        <v>24</v>
      </c>
      <c r="B7" s="1" t="s">
        <v>17</v>
      </c>
      <c r="C7" s="1" t="s">
        <v>21</v>
      </c>
      <c r="D7" s="1" t="s">
        <v>392</v>
      </c>
      <c r="E7" s="1">
        <v>9827</v>
      </c>
      <c r="F7" s="1">
        <v>183570</v>
      </c>
      <c r="G7" s="1">
        <f t="shared" si="0"/>
        <v>193397</v>
      </c>
      <c r="H7" s="1">
        <v>12039</v>
      </c>
      <c r="I7" s="1">
        <v>20</v>
      </c>
      <c r="J7" s="1">
        <v>149</v>
      </c>
      <c r="K7" s="1">
        <f t="shared" si="6"/>
        <v>1793811</v>
      </c>
      <c r="L7" s="1">
        <v>21</v>
      </c>
      <c r="M7" s="1">
        <f t="shared" si="4"/>
        <v>1540992</v>
      </c>
      <c r="N7" s="1">
        <f t="shared" si="5"/>
        <v>1347595</v>
      </c>
      <c r="O7" s="4">
        <f t="shared" si="1"/>
        <v>0.87449837507268047</v>
      </c>
      <c r="P7" s="4">
        <f t="shared" si="2"/>
        <v>16.40625</v>
      </c>
      <c r="Q7" s="4">
        <f t="shared" si="3"/>
        <v>1.114944662509038E-3</v>
      </c>
    </row>
    <row r="8" spans="1:17">
      <c r="A8" s="1" t="s">
        <v>25</v>
      </c>
      <c r="B8" s="1" t="s">
        <v>26</v>
      </c>
      <c r="C8" s="1" t="s">
        <v>15</v>
      </c>
      <c r="D8" s="1" t="s">
        <v>391</v>
      </c>
      <c r="E8" s="1">
        <v>49259</v>
      </c>
      <c r="F8" s="1">
        <v>303734</v>
      </c>
      <c r="G8" s="1">
        <f t="shared" si="0"/>
        <v>352993</v>
      </c>
      <c r="H8" s="1">
        <v>50803</v>
      </c>
      <c r="I8" s="1">
        <v>15</v>
      </c>
      <c r="J8" s="1">
        <v>11</v>
      </c>
      <c r="K8" s="1">
        <f t="shared" si="6"/>
        <v>558833</v>
      </c>
      <c r="L8" s="1">
        <v>35</v>
      </c>
      <c r="M8" s="1">
        <f t="shared" si="4"/>
        <v>-1219272</v>
      </c>
      <c r="N8" s="1">
        <f t="shared" si="5"/>
        <v>-1572265</v>
      </c>
      <c r="O8" s="4">
        <f t="shared" si="1"/>
        <v>-1.2895112821421306</v>
      </c>
      <c r="P8" s="4">
        <f t="shared" si="2"/>
        <v>-145.83333333333331</v>
      </c>
      <c r="Q8" s="4">
        <f t="shared" si="3"/>
        <v>2.6841650367820085E-3</v>
      </c>
    </row>
    <row r="9" spans="1:17">
      <c r="A9" s="1" t="s">
        <v>27</v>
      </c>
      <c r="B9" s="1" t="s">
        <v>17</v>
      </c>
      <c r="C9" s="1" t="s">
        <v>18</v>
      </c>
      <c r="D9" s="1" t="s">
        <v>391</v>
      </c>
      <c r="E9" s="1">
        <v>33260</v>
      </c>
      <c r="F9" s="1">
        <v>186834</v>
      </c>
      <c r="G9" s="1">
        <f t="shared" si="0"/>
        <v>220094</v>
      </c>
      <c r="H9" s="1">
        <v>44357</v>
      </c>
      <c r="I9" s="1">
        <v>10</v>
      </c>
      <c r="J9" s="1">
        <v>65</v>
      </c>
      <c r="K9" s="1">
        <f t="shared" si="6"/>
        <v>2883205</v>
      </c>
      <c r="L9" s="1">
        <v>29</v>
      </c>
      <c r="M9" s="1">
        <f t="shared" si="4"/>
        <v>1596852</v>
      </c>
      <c r="N9" s="1">
        <f t="shared" si="5"/>
        <v>1376758</v>
      </c>
      <c r="O9" s="4">
        <f t="shared" si="1"/>
        <v>0.86217006961196152</v>
      </c>
      <c r="P9" s="4">
        <f t="shared" si="2"/>
        <v>80.555555555555557</v>
      </c>
      <c r="Q9" s="4">
        <f t="shared" si="3"/>
        <v>3.4683624646877345E-4</v>
      </c>
    </row>
    <row r="10" spans="1:17">
      <c r="A10" s="1" t="s">
        <v>28</v>
      </c>
      <c r="B10" s="1" t="s">
        <v>17</v>
      </c>
      <c r="C10" s="1" t="s">
        <v>29</v>
      </c>
      <c r="D10" s="1" t="s">
        <v>391</v>
      </c>
      <c r="E10" s="1">
        <v>21053</v>
      </c>
      <c r="F10" s="1">
        <v>369376</v>
      </c>
      <c r="G10" s="1">
        <f t="shared" si="0"/>
        <v>390429</v>
      </c>
      <c r="H10" s="1">
        <v>19934</v>
      </c>
      <c r="I10" s="1">
        <v>5</v>
      </c>
      <c r="J10" s="1">
        <v>51</v>
      </c>
      <c r="K10" s="1">
        <f t="shared" si="6"/>
        <v>1016634</v>
      </c>
      <c r="L10" s="1">
        <v>33</v>
      </c>
      <c r="M10" s="1">
        <f t="shared" si="4"/>
        <v>358812</v>
      </c>
      <c r="N10" s="1">
        <f t="shared" si="5"/>
        <v>-31617</v>
      </c>
      <c r="O10" s="4">
        <f t="shared" si="1"/>
        <v>-8.8115782080866858E-2</v>
      </c>
      <c r="P10" s="4">
        <f t="shared" si="2"/>
        <v>183.33333333333331</v>
      </c>
      <c r="Q10" s="4">
        <f t="shared" si="3"/>
        <v>4.9181908139999254E-4</v>
      </c>
    </row>
    <row r="11" spans="1:17">
      <c r="A11" s="1" t="s">
        <v>30</v>
      </c>
      <c r="B11" s="1" t="s">
        <v>26</v>
      </c>
      <c r="C11" s="1" t="s">
        <v>31</v>
      </c>
      <c r="D11" s="1" t="s">
        <v>392</v>
      </c>
      <c r="E11" s="1">
        <v>13881</v>
      </c>
      <c r="F11" s="1">
        <v>196472</v>
      </c>
      <c r="G11" s="1">
        <f t="shared" si="0"/>
        <v>210353</v>
      </c>
      <c r="H11" s="1">
        <v>41714</v>
      </c>
      <c r="I11" s="1">
        <v>15</v>
      </c>
      <c r="J11" s="1">
        <v>56</v>
      </c>
      <c r="K11" s="1">
        <f t="shared" si="6"/>
        <v>2335984</v>
      </c>
      <c r="L11" s="1">
        <v>6</v>
      </c>
      <c r="M11" s="1">
        <f t="shared" si="4"/>
        <v>2085700</v>
      </c>
      <c r="N11" s="1">
        <f t="shared" si="5"/>
        <v>1875347</v>
      </c>
      <c r="O11" s="4">
        <f t="shared" si="1"/>
        <v>0.89914513113103511</v>
      </c>
      <c r="P11" s="4">
        <f t="shared" si="2"/>
        <v>12</v>
      </c>
      <c r="Q11" s="4">
        <f t="shared" si="3"/>
        <v>6.4212768580606714E-4</v>
      </c>
    </row>
    <row r="12" spans="1:17">
      <c r="A12" s="1" t="s">
        <v>32</v>
      </c>
      <c r="B12" s="1" t="s">
        <v>26</v>
      </c>
      <c r="C12" s="1" t="s">
        <v>21</v>
      </c>
      <c r="D12" s="1" t="s">
        <v>392</v>
      </c>
      <c r="E12" s="1">
        <v>35371</v>
      </c>
      <c r="F12" s="1">
        <v>54896</v>
      </c>
      <c r="G12" s="1">
        <f t="shared" si="0"/>
        <v>90267</v>
      </c>
      <c r="H12" s="1">
        <v>38890</v>
      </c>
      <c r="I12" s="1">
        <v>0</v>
      </c>
      <c r="J12" s="1">
        <v>51</v>
      </c>
      <c r="K12" s="1">
        <f t="shared" si="6"/>
        <v>1983390</v>
      </c>
      <c r="L12" s="1">
        <v>38</v>
      </c>
      <c r="M12" s="1">
        <f t="shared" si="4"/>
        <v>505570</v>
      </c>
      <c r="N12" s="1">
        <f t="shared" si="5"/>
        <v>415303</v>
      </c>
      <c r="O12" s="4">
        <f t="shared" si="1"/>
        <v>0.82145499139585021</v>
      </c>
      <c r="P12" s="4">
        <f t="shared" si="2"/>
        <v>292.30769230769226</v>
      </c>
      <c r="Q12" s="4">
        <f t="shared" si="3"/>
        <v>0</v>
      </c>
    </row>
    <row r="13" spans="1:17">
      <c r="A13" s="1" t="s">
        <v>33</v>
      </c>
      <c r="B13" s="1" t="s">
        <v>14</v>
      </c>
      <c r="C13" s="1" t="s">
        <v>29</v>
      </c>
      <c r="D13" s="1" t="s">
        <v>392</v>
      </c>
      <c r="E13" s="1">
        <v>34566</v>
      </c>
      <c r="F13" s="1">
        <v>386044</v>
      </c>
      <c r="G13" s="1">
        <f t="shared" si="0"/>
        <v>420610</v>
      </c>
      <c r="H13" s="1">
        <v>83236</v>
      </c>
      <c r="I13" s="1">
        <v>0</v>
      </c>
      <c r="J13" s="1">
        <v>133</v>
      </c>
      <c r="K13" s="1">
        <f t="shared" si="6"/>
        <v>11070388</v>
      </c>
      <c r="L13" s="1">
        <v>39</v>
      </c>
      <c r="M13" s="1">
        <f t="shared" si="4"/>
        <v>7824184</v>
      </c>
      <c r="N13" s="1">
        <f t="shared" si="5"/>
        <v>7403574</v>
      </c>
      <c r="O13" s="4">
        <f t="shared" si="1"/>
        <v>0.94624231740971332</v>
      </c>
      <c r="P13" s="4">
        <f t="shared" si="2"/>
        <v>41.48936170212766</v>
      </c>
      <c r="Q13" s="4">
        <f t="shared" si="3"/>
        <v>0</v>
      </c>
    </row>
    <row r="14" spans="1:17">
      <c r="A14" s="1" t="s">
        <v>34</v>
      </c>
      <c r="B14" s="1" t="s">
        <v>14</v>
      </c>
      <c r="C14" s="1" t="s">
        <v>15</v>
      </c>
      <c r="D14" s="1" t="s">
        <v>392</v>
      </c>
      <c r="E14" s="1">
        <v>8846</v>
      </c>
      <c r="F14" s="1">
        <v>245860</v>
      </c>
      <c r="G14" s="1">
        <f t="shared" si="0"/>
        <v>254706</v>
      </c>
      <c r="H14" s="1">
        <v>84114</v>
      </c>
      <c r="I14" s="1">
        <v>0</v>
      </c>
      <c r="J14" s="1">
        <v>103</v>
      </c>
      <c r="K14" s="1">
        <f t="shared" si="6"/>
        <v>8663742</v>
      </c>
      <c r="L14" s="1">
        <v>28</v>
      </c>
      <c r="M14" s="1">
        <f t="shared" si="4"/>
        <v>6308550</v>
      </c>
      <c r="N14" s="1">
        <f t="shared" si="5"/>
        <v>6053844</v>
      </c>
      <c r="O14" s="4">
        <f t="shared" si="1"/>
        <v>0.959625270466272</v>
      </c>
      <c r="P14" s="4">
        <f t="shared" si="2"/>
        <v>37.333333333333336</v>
      </c>
      <c r="Q14" s="4">
        <f t="shared" si="3"/>
        <v>0</v>
      </c>
    </row>
    <row r="15" spans="1:17">
      <c r="A15" s="1" t="s">
        <v>35</v>
      </c>
      <c r="B15" s="1" t="s">
        <v>26</v>
      </c>
      <c r="C15" s="1" t="s">
        <v>15</v>
      </c>
      <c r="D15" s="1" t="s">
        <v>392</v>
      </c>
      <c r="E15" s="1">
        <v>6701</v>
      </c>
      <c r="F15" s="1">
        <v>314080</v>
      </c>
      <c r="G15" s="1">
        <f t="shared" si="0"/>
        <v>320781</v>
      </c>
      <c r="H15" s="1">
        <v>21650</v>
      </c>
      <c r="I15" s="1">
        <v>0</v>
      </c>
      <c r="J15" s="1">
        <v>10</v>
      </c>
      <c r="K15" s="1">
        <f t="shared" si="6"/>
        <v>216500</v>
      </c>
      <c r="L15" s="1">
        <v>12</v>
      </c>
      <c r="M15" s="1">
        <f t="shared" si="4"/>
        <v>-43300</v>
      </c>
      <c r="N15" s="1">
        <f t="shared" si="5"/>
        <v>-364081</v>
      </c>
      <c r="O15" s="4">
        <f t="shared" si="1"/>
        <v>-8.4083371824480366</v>
      </c>
      <c r="P15" s="4">
        <f t="shared" si="2"/>
        <v>-600</v>
      </c>
      <c r="Q15" s="4">
        <f t="shared" si="3"/>
        <v>0</v>
      </c>
    </row>
    <row r="16" spans="1:17">
      <c r="A16" s="1" t="s">
        <v>36</v>
      </c>
      <c r="B16" s="1" t="s">
        <v>20</v>
      </c>
      <c r="C16" s="1" t="s">
        <v>15</v>
      </c>
      <c r="D16" s="1" t="s">
        <v>391</v>
      </c>
      <c r="E16" s="1">
        <v>41399</v>
      </c>
      <c r="F16" s="1">
        <v>251019</v>
      </c>
      <c r="G16" s="1">
        <f t="shared" si="0"/>
        <v>292418</v>
      </c>
      <c r="H16" s="1">
        <v>27203</v>
      </c>
      <c r="I16" s="1">
        <v>20</v>
      </c>
      <c r="J16" s="1">
        <v>88</v>
      </c>
      <c r="K16" s="1">
        <f t="shared" si="6"/>
        <v>2393864</v>
      </c>
      <c r="L16" s="1">
        <v>20</v>
      </c>
      <c r="M16" s="1">
        <f t="shared" si="4"/>
        <v>1849804</v>
      </c>
      <c r="N16" s="1">
        <f t="shared" si="5"/>
        <v>1557386</v>
      </c>
      <c r="O16" s="4">
        <f t="shared" si="1"/>
        <v>0.84191946822474162</v>
      </c>
      <c r="P16" s="4">
        <f t="shared" si="2"/>
        <v>29.411764705882355</v>
      </c>
      <c r="Q16" s="4">
        <f t="shared" si="3"/>
        <v>8.3546934997142687E-4</v>
      </c>
    </row>
    <row r="17" spans="1:17">
      <c r="A17" s="1" t="s">
        <v>37</v>
      </c>
      <c r="B17" s="1" t="s">
        <v>14</v>
      </c>
      <c r="C17" s="1" t="s">
        <v>38</v>
      </c>
      <c r="D17" s="1" t="s">
        <v>391</v>
      </c>
      <c r="E17" s="1">
        <v>29461</v>
      </c>
      <c r="F17" s="1">
        <v>82120</v>
      </c>
      <c r="G17" s="1">
        <f t="shared" si="0"/>
        <v>111581</v>
      </c>
      <c r="H17" s="1">
        <v>52996</v>
      </c>
      <c r="I17" s="1">
        <v>10</v>
      </c>
      <c r="J17" s="1">
        <v>103</v>
      </c>
      <c r="K17" s="1">
        <f t="shared" si="6"/>
        <v>5458588</v>
      </c>
      <c r="L17" s="1">
        <v>22</v>
      </c>
      <c r="M17" s="1">
        <f t="shared" si="4"/>
        <v>4292676</v>
      </c>
      <c r="N17" s="1">
        <f t="shared" si="5"/>
        <v>4181095</v>
      </c>
      <c r="O17" s="4">
        <f t="shared" si="1"/>
        <v>0.97400665691983279</v>
      </c>
      <c r="P17" s="4">
        <f t="shared" si="2"/>
        <v>27.160493827160494</v>
      </c>
      <c r="Q17" s="4">
        <f t="shared" si="3"/>
        <v>1.8319755951539117E-4</v>
      </c>
    </row>
    <row r="18" spans="1:17">
      <c r="A18" s="1" t="s">
        <v>39</v>
      </c>
      <c r="B18" s="1" t="s">
        <v>26</v>
      </c>
      <c r="C18" s="1" t="s">
        <v>18</v>
      </c>
      <c r="D18" s="1" t="s">
        <v>392</v>
      </c>
      <c r="E18" s="1">
        <v>27180</v>
      </c>
      <c r="F18" s="1">
        <v>152475</v>
      </c>
      <c r="G18" s="1">
        <f t="shared" si="0"/>
        <v>179655</v>
      </c>
      <c r="H18" s="1">
        <v>52028</v>
      </c>
      <c r="I18" s="1">
        <v>15</v>
      </c>
      <c r="J18" s="1">
        <v>38</v>
      </c>
      <c r="K18" s="1">
        <f t="shared" si="6"/>
        <v>1977064</v>
      </c>
      <c r="L18" s="1">
        <v>31</v>
      </c>
      <c r="M18" s="1">
        <f t="shared" si="4"/>
        <v>364196</v>
      </c>
      <c r="N18" s="1">
        <f t="shared" si="5"/>
        <v>184541</v>
      </c>
      <c r="O18" s="4">
        <f t="shared" si="1"/>
        <v>0.50670792650111474</v>
      </c>
      <c r="P18" s="4">
        <f t="shared" si="2"/>
        <v>442.85714285714289</v>
      </c>
      <c r="Q18" s="4">
        <f t="shared" si="3"/>
        <v>7.5870078055136308E-4</v>
      </c>
    </row>
    <row r="19" spans="1:17">
      <c r="A19" s="1" t="s">
        <v>40</v>
      </c>
      <c r="B19" s="1" t="s">
        <v>20</v>
      </c>
      <c r="C19" s="1" t="s">
        <v>31</v>
      </c>
      <c r="D19" s="1" t="s">
        <v>392</v>
      </c>
      <c r="E19" s="1">
        <v>19478</v>
      </c>
      <c r="F19" s="1">
        <v>366900</v>
      </c>
      <c r="G19" s="1">
        <f t="shared" si="0"/>
        <v>386378</v>
      </c>
      <c r="H19" s="1">
        <v>60051</v>
      </c>
      <c r="I19" s="1">
        <v>15</v>
      </c>
      <c r="J19" s="1">
        <v>100</v>
      </c>
      <c r="K19" s="1">
        <f t="shared" si="6"/>
        <v>6005100</v>
      </c>
      <c r="L19" s="1">
        <v>18</v>
      </c>
      <c r="M19" s="1">
        <f t="shared" si="4"/>
        <v>4924182</v>
      </c>
      <c r="N19" s="1">
        <f t="shared" si="5"/>
        <v>4537804</v>
      </c>
      <c r="O19" s="4">
        <f t="shared" si="1"/>
        <v>0.92153458178434511</v>
      </c>
      <c r="P19" s="4">
        <f t="shared" si="2"/>
        <v>21.951219512195124</v>
      </c>
      <c r="Q19" s="4">
        <f t="shared" si="3"/>
        <v>2.4978768047159917E-4</v>
      </c>
    </row>
    <row r="20" spans="1:17">
      <c r="A20" s="1" t="s">
        <v>41</v>
      </c>
      <c r="B20" s="1" t="s">
        <v>17</v>
      </c>
      <c r="C20" s="1" t="s">
        <v>21</v>
      </c>
      <c r="D20" s="1" t="s">
        <v>392</v>
      </c>
      <c r="E20" s="1">
        <v>22438</v>
      </c>
      <c r="F20" s="1">
        <v>202271</v>
      </c>
      <c r="G20" s="1">
        <f t="shared" si="0"/>
        <v>224709</v>
      </c>
      <c r="H20" s="1">
        <v>74570</v>
      </c>
      <c r="I20" s="1">
        <v>20</v>
      </c>
      <c r="J20" s="1">
        <v>60</v>
      </c>
      <c r="K20" s="1">
        <f t="shared" si="6"/>
        <v>4474200</v>
      </c>
      <c r="L20" s="1">
        <v>3</v>
      </c>
      <c r="M20" s="1">
        <f t="shared" si="4"/>
        <v>4250490</v>
      </c>
      <c r="N20" s="1">
        <f t="shared" si="5"/>
        <v>4025781</v>
      </c>
      <c r="O20" s="4">
        <f t="shared" si="1"/>
        <v>0.94713338932687763</v>
      </c>
      <c r="P20" s="4">
        <f t="shared" si="2"/>
        <v>5.2631578947368416</v>
      </c>
      <c r="Q20" s="4">
        <f t="shared" si="3"/>
        <v>4.470072862187654E-4</v>
      </c>
    </row>
    <row r="21" spans="1:17">
      <c r="A21" s="1" t="s">
        <v>42</v>
      </c>
      <c r="B21" s="1" t="s">
        <v>14</v>
      </c>
      <c r="C21" s="1" t="s">
        <v>38</v>
      </c>
      <c r="D21" s="1" t="s">
        <v>392</v>
      </c>
      <c r="E21" s="1">
        <v>7136</v>
      </c>
      <c r="F21" s="1">
        <v>215377</v>
      </c>
      <c r="G21" s="1">
        <f t="shared" si="0"/>
        <v>222513</v>
      </c>
      <c r="H21" s="1">
        <v>25830</v>
      </c>
      <c r="I21" s="1">
        <v>15</v>
      </c>
      <c r="J21" s="1">
        <v>137</v>
      </c>
      <c r="K21" s="1">
        <f t="shared" si="6"/>
        <v>3538710</v>
      </c>
      <c r="L21" s="1">
        <v>3</v>
      </c>
      <c r="M21" s="1">
        <f t="shared" si="4"/>
        <v>3461220</v>
      </c>
      <c r="N21" s="1">
        <f t="shared" si="5"/>
        <v>3238707</v>
      </c>
      <c r="O21" s="4">
        <f t="shared" si="1"/>
        <v>0.93571255222147109</v>
      </c>
      <c r="P21" s="4">
        <f t="shared" si="2"/>
        <v>2.2388059701492535</v>
      </c>
      <c r="Q21" s="4">
        <f t="shared" si="3"/>
        <v>4.2388327950015686E-4</v>
      </c>
    </row>
    <row r="22" spans="1:17">
      <c r="A22" s="1" t="s">
        <v>43</v>
      </c>
      <c r="B22" s="1" t="s">
        <v>17</v>
      </c>
      <c r="C22" s="1" t="s">
        <v>18</v>
      </c>
      <c r="D22" s="1" t="s">
        <v>391</v>
      </c>
      <c r="E22" s="1">
        <v>37839</v>
      </c>
      <c r="F22" s="1">
        <v>55058</v>
      </c>
      <c r="G22" s="1">
        <f t="shared" si="0"/>
        <v>92897</v>
      </c>
      <c r="H22" s="1">
        <v>75470</v>
      </c>
      <c r="I22" s="1">
        <v>15</v>
      </c>
      <c r="J22" s="1">
        <v>92</v>
      </c>
      <c r="K22" s="1">
        <f t="shared" si="6"/>
        <v>6943240</v>
      </c>
      <c r="L22" s="1">
        <v>10</v>
      </c>
      <c r="M22" s="1">
        <f t="shared" si="4"/>
        <v>6188540</v>
      </c>
      <c r="N22" s="1">
        <f t="shared" si="5"/>
        <v>6095643</v>
      </c>
      <c r="O22" s="4">
        <f t="shared" si="1"/>
        <v>0.98498886651778939</v>
      </c>
      <c r="P22" s="4">
        <f t="shared" si="2"/>
        <v>12.195121951219512</v>
      </c>
      <c r="Q22" s="4">
        <f t="shared" si="3"/>
        <v>2.160374695387168E-4</v>
      </c>
    </row>
    <row r="23" spans="1:17">
      <c r="A23" s="1" t="s">
        <v>44</v>
      </c>
      <c r="B23" s="1" t="s">
        <v>17</v>
      </c>
      <c r="C23" s="1" t="s">
        <v>15</v>
      </c>
      <c r="D23" s="1" t="s">
        <v>391</v>
      </c>
      <c r="E23" s="1">
        <v>29558</v>
      </c>
      <c r="F23" s="1">
        <v>293285</v>
      </c>
      <c r="G23" s="1">
        <f t="shared" si="0"/>
        <v>322843</v>
      </c>
      <c r="H23" s="1">
        <v>15128</v>
      </c>
      <c r="I23" s="1">
        <v>0</v>
      </c>
      <c r="J23" s="1">
        <v>80</v>
      </c>
      <c r="K23" s="1">
        <f t="shared" si="6"/>
        <v>1210240</v>
      </c>
      <c r="L23" s="1">
        <v>11</v>
      </c>
      <c r="M23" s="1">
        <f t="shared" si="4"/>
        <v>1043832</v>
      </c>
      <c r="N23" s="1">
        <f t="shared" si="5"/>
        <v>720989</v>
      </c>
      <c r="O23" s="4">
        <f t="shared" si="1"/>
        <v>0.69071363974279387</v>
      </c>
      <c r="P23" s="4">
        <f t="shared" si="2"/>
        <v>15.942028985507244</v>
      </c>
      <c r="Q23" s="4">
        <f t="shared" si="3"/>
        <v>0</v>
      </c>
    </row>
    <row r="24" spans="1:17">
      <c r="A24" s="1" t="s">
        <v>45</v>
      </c>
      <c r="B24" s="1" t="s">
        <v>17</v>
      </c>
      <c r="C24" s="1" t="s">
        <v>29</v>
      </c>
      <c r="D24" s="1" t="s">
        <v>392</v>
      </c>
      <c r="E24" s="1">
        <v>41412</v>
      </c>
      <c r="F24" s="1">
        <v>148342</v>
      </c>
      <c r="G24" s="1">
        <f t="shared" si="0"/>
        <v>189754</v>
      </c>
      <c r="H24" s="1">
        <v>79249</v>
      </c>
      <c r="I24" s="1">
        <v>15</v>
      </c>
      <c r="J24" s="1">
        <v>35</v>
      </c>
      <c r="K24" s="1">
        <f t="shared" si="6"/>
        <v>2773715</v>
      </c>
      <c r="L24" s="1">
        <v>35</v>
      </c>
      <c r="M24" s="1">
        <f t="shared" si="4"/>
        <v>0</v>
      </c>
      <c r="N24" s="1">
        <f t="shared" si="5"/>
        <v>-189754</v>
      </c>
      <c r="O24" s="4">
        <v>0</v>
      </c>
      <c r="P24" s="4">
        <v>0</v>
      </c>
      <c r="Q24" s="4">
        <f t="shared" si="3"/>
        <v>5.4079096085935289E-4</v>
      </c>
    </row>
    <row r="25" spans="1:17">
      <c r="A25" s="1" t="s">
        <v>46</v>
      </c>
      <c r="B25" s="1" t="s">
        <v>26</v>
      </c>
      <c r="C25" s="1" t="s">
        <v>29</v>
      </c>
      <c r="D25" s="1" t="s">
        <v>391</v>
      </c>
      <c r="E25" s="1">
        <v>46613</v>
      </c>
      <c r="F25" s="1">
        <v>155184</v>
      </c>
      <c r="G25" s="1">
        <f t="shared" si="0"/>
        <v>201797</v>
      </c>
      <c r="H25" s="1">
        <v>84471</v>
      </c>
      <c r="I25" s="1">
        <v>20</v>
      </c>
      <c r="J25" s="1">
        <v>128</v>
      </c>
      <c r="K25" s="1">
        <f t="shared" si="6"/>
        <v>10812288</v>
      </c>
      <c r="L25" s="1">
        <v>34</v>
      </c>
      <c r="M25" s="1">
        <f t="shared" si="4"/>
        <v>7940274</v>
      </c>
      <c r="N25" s="1">
        <f t="shared" si="5"/>
        <v>7738477</v>
      </c>
      <c r="O25" s="4">
        <f t="shared" si="1"/>
        <v>0.9745856377248443</v>
      </c>
      <c r="P25" s="4">
        <f t="shared" si="2"/>
        <v>36.170212765957451</v>
      </c>
      <c r="Q25" s="4">
        <f t="shared" si="3"/>
        <v>1.8497472505356869E-4</v>
      </c>
    </row>
    <row r="26" spans="1:17">
      <c r="A26" s="1" t="s">
        <v>47</v>
      </c>
      <c r="B26" s="1" t="s">
        <v>14</v>
      </c>
      <c r="C26" s="1" t="s">
        <v>18</v>
      </c>
      <c r="D26" s="1" t="s">
        <v>393</v>
      </c>
      <c r="E26" s="1">
        <v>22720</v>
      </c>
      <c r="F26" s="1">
        <v>174683</v>
      </c>
      <c r="G26" s="1">
        <f t="shared" si="0"/>
        <v>197403</v>
      </c>
      <c r="H26" s="1">
        <v>77132</v>
      </c>
      <c r="I26" s="1">
        <v>15</v>
      </c>
      <c r="J26" s="1">
        <v>129</v>
      </c>
      <c r="K26" s="1">
        <f t="shared" si="6"/>
        <v>9950028</v>
      </c>
      <c r="L26" s="1">
        <v>31</v>
      </c>
      <c r="M26" s="1">
        <f t="shared" si="4"/>
        <v>7558936</v>
      </c>
      <c r="N26" s="1">
        <f t="shared" si="5"/>
        <v>7361533</v>
      </c>
      <c r="O26" s="4">
        <f t="shared" si="1"/>
        <v>0.97388481659323478</v>
      </c>
      <c r="P26" s="4">
        <f t="shared" si="2"/>
        <v>31.632653061224492</v>
      </c>
      <c r="Q26" s="4">
        <f t="shared" si="3"/>
        <v>1.5075334461370359E-4</v>
      </c>
    </row>
    <row r="27" spans="1:17">
      <c r="A27" s="1" t="s">
        <v>48</v>
      </c>
      <c r="B27" s="1" t="s">
        <v>26</v>
      </c>
      <c r="C27" s="1" t="s">
        <v>21</v>
      </c>
      <c r="D27" s="1" t="s">
        <v>391</v>
      </c>
      <c r="E27" s="1">
        <v>8884</v>
      </c>
      <c r="F27" s="1">
        <v>75630</v>
      </c>
      <c r="G27" s="1">
        <f t="shared" si="0"/>
        <v>84514</v>
      </c>
      <c r="H27" s="1">
        <v>48653</v>
      </c>
      <c r="I27" s="1">
        <v>20</v>
      </c>
      <c r="J27" s="1">
        <v>125</v>
      </c>
      <c r="K27" s="1">
        <f t="shared" si="6"/>
        <v>6081625</v>
      </c>
      <c r="L27" s="1">
        <v>32</v>
      </c>
      <c r="M27" s="1">
        <f t="shared" si="4"/>
        <v>4524729</v>
      </c>
      <c r="N27" s="1">
        <f t="shared" si="5"/>
        <v>4440215</v>
      </c>
      <c r="O27" s="4">
        <f t="shared" si="1"/>
        <v>0.98132175429732915</v>
      </c>
      <c r="P27" s="4">
        <f t="shared" si="2"/>
        <v>34.408602150537639</v>
      </c>
      <c r="Q27" s="4">
        <f t="shared" si="3"/>
        <v>3.2885947423591554E-4</v>
      </c>
    </row>
    <row r="28" spans="1:17">
      <c r="A28" s="1" t="s">
        <v>49</v>
      </c>
      <c r="B28" s="1" t="s">
        <v>17</v>
      </c>
      <c r="C28" s="1" t="s">
        <v>29</v>
      </c>
      <c r="D28" s="1" t="s">
        <v>391</v>
      </c>
      <c r="E28" s="1">
        <v>31712</v>
      </c>
      <c r="F28" s="1">
        <v>344380</v>
      </c>
      <c r="G28" s="1">
        <f t="shared" si="0"/>
        <v>376092</v>
      </c>
      <c r="H28" s="1">
        <v>36734</v>
      </c>
      <c r="I28" s="1">
        <v>10</v>
      </c>
      <c r="J28" s="1">
        <v>115</v>
      </c>
      <c r="K28" s="1">
        <f t="shared" si="6"/>
        <v>4224410</v>
      </c>
      <c r="L28" s="1">
        <v>40</v>
      </c>
      <c r="M28" s="1">
        <f t="shared" si="4"/>
        <v>2755050</v>
      </c>
      <c r="N28" s="1">
        <f t="shared" si="5"/>
        <v>2378958</v>
      </c>
      <c r="O28" s="4">
        <f t="shared" si="1"/>
        <v>0.86348995481025748</v>
      </c>
      <c r="P28" s="4">
        <f t="shared" si="2"/>
        <v>53.333333333333336</v>
      </c>
      <c r="Q28" s="4">
        <f t="shared" si="3"/>
        <v>2.3671944721274685E-4</v>
      </c>
    </row>
    <row r="29" spans="1:17">
      <c r="A29" s="1" t="s">
        <v>50</v>
      </c>
      <c r="B29" s="1" t="s">
        <v>14</v>
      </c>
      <c r="C29" s="1" t="s">
        <v>15</v>
      </c>
      <c r="D29" s="1" t="s">
        <v>391</v>
      </c>
      <c r="E29" s="1">
        <v>26659</v>
      </c>
      <c r="F29" s="1">
        <v>327842</v>
      </c>
      <c r="G29" s="1">
        <f t="shared" si="0"/>
        <v>354501</v>
      </c>
      <c r="H29" s="1">
        <v>45240</v>
      </c>
      <c r="I29" s="1">
        <v>15</v>
      </c>
      <c r="J29" s="1">
        <v>74</v>
      </c>
      <c r="K29" s="1">
        <f t="shared" si="6"/>
        <v>3347760</v>
      </c>
      <c r="L29" s="1">
        <v>30</v>
      </c>
      <c r="M29" s="1">
        <f t="shared" si="4"/>
        <v>1990560</v>
      </c>
      <c r="N29" s="1">
        <f t="shared" si="5"/>
        <v>1636059</v>
      </c>
      <c r="O29" s="4">
        <f t="shared" si="1"/>
        <v>0.82190891005546174</v>
      </c>
      <c r="P29" s="4">
        <f t="shared" si="2"/>
        <v>68.181818181818173</v>
      </c>
      <c r="Q29" s="4">
        <f t="shared" si="3"/>
        <v>4.4806079288837905E-4</v>
      </c>
    </row>
    <row r="30" spans="1:17">
      <c r="A30" s="1" t="s">
        <v>51</v>
      </c>
      <c r="B30" s="1" t="s">
        <v>17</v>
      </c>
      <c r="C30" s="1" t="s">
        <v>15</v>
      </c>
      <c r="D30" s="1" t="s">
        <v>392</v>
      </c>
      <c r="E30" s="1">
        <v>34721</v>
      </c>
      <c r="F30" s="1">
        <v>216265</v>
      </c>
      <c r="G30" s="1">
        <f t="shared" si="0"/>
        <v>250986</v>
      </c>
      <c r="H30" s="1">
        <v>19206</v>
      </c>
      <c r="I30" s="1">
        <v>20</v>
      </c>
      <c r="J30" s="1">
        <v>92</v>
      </c>
      <c r="K30" s="1">
        <f t="shared" si="6"/>
        <v>1766952</v>
      </c>
      <c r="L30" s="1">
        <v>29</v>
      </c>
      <c r="M30" s="1">
        <f t="shared" si="4"/>
        <v>1209978</v>
      </c>
      <c r="N30" s="1">
        <f t="shared" si="5"/>
        <v>958992</v>
      </c>
      <c r="O30" s="4">
        <f t="shared" si="1"/>
        <v>0.7925697822605039</v>
      </c>
      <c r="P30" s="4">
        <f t="shared" si="2"/>
        <v>46.031746031746032</v>
      </c>
      <c r="Q30" s="4">
        <f t="shared" si="3"/>
        <v>1.1318926603552332E-3</v>
      </c>
    </row>
    <row r="31" spans="1:17">
      <c r="A31" s="1" t="s">
        <v>52</v>
      </c>
      <c r="B31" s="1" t="s">
        <v>26</v>
      </c>
      <c r="C31" s="1" t="s">
        <v>21</v>
      </c>
      <c r="D31" s="1" t="s">
        <v>392</v>
      </c>
      <c r="E31" s="1">
        <v>39863</v>
      </c>
      <c r="F31" s="1">
        <v>114124</v>
      </c>
      <c r="G31" s="1">
        <f t="shared" si="0"/>
        <v>153987</v>
      </c>
      <c r="H31" s="1">
        <v>12487</v>
      </c>
      <c r="I31" s="1">
        <v>5</v>
      </c>
      <c r="J31" s="1">
        <v>126</v>
      </c>
      <c r="K31" s="1">
        <f t="shared" si="6"/>
        <v>1573362</v>
      </c>
      <c r="L31" s="1">
        <v>33</v>
      </c>
      <c r="M31" s="1">
        <f t="shared" si="4"/>
        <v>1161291</v>
      </c>
      <c r="N31" s="1">
        <f t="shared" si="5"/>
        <v>1007304</v>
      </c>
      <c r="O31" s="4">
        <f t="shared" si="1"/>
        <v>0.86740016068323955</v>
      </c>
      <c r="P31" s="4">
        <f t="shared" si="2"/>
        <v>35.483870967741936</v>
      </c>
      <c r="Q31" s="4">
        <f t="shared" si="3"/>
        <v>3.1779081991302699E-4</v>
      </c>
    </row>
    <row r="32" spans="1:17">
      <c r="A32" s="1" t="s">
        <v>53</v>
      </c>
      <c r="B32" s="1" t="s">
        <v>20</v>
      </c>
      <c r="C32" s="1" t="s">
        <v>15</v>
      </c>
      <c r="D32" s="1" t="s">
        <v>392</v>
      </c>
      <c r="E32" s="1">
        <v>34017</v>
      </c>
      <c r="F32" s="1">
        <v>140494</v>
      </c>
      <c r="G32" s="1">
        <f t="shared" si="0"/>
        <v>174511</v>
      </c>
      <c r="H32" s="1">
        <v>71106</v>
      </c>
      <c r="I32" s="1">
        <v>0</v>
      </c>
      <c r="J32" s="1">
        <v>37</v>
      </c>
      <c r="K32" s="1">
        <f t="shared" si="6"/>
        <v>2630922</v>
      </c>
      <c r="L32" s="1">
        <v>9</v>
      </c>
      <c r="M32" s="1">
        <f t="shared" si="4"/>
        <v>1990968</v>
      </c>
      <c r="N32" s="1">
        <f t="shared" si="5"/>
        <v>1816457</v>
      </c>
      <c r="O32" s="4">
        <f t="shared" si="1"/>
        <v>0.91234866657826741</v>
      </c>
      <c r="P32" s="4">
        <f t="shared" si="2"/>
        <v>32.142857142857146</v>
      </c>
      <c r="Q32" s="4">
        <f t="shared" si="3"/>
        <v>0</v>
      </c>
    </row>
    <row r="33" spans="1:17">
      <c r="A33" s="1" t="s">
        <v>54</v>
      </c>
      <c r="B33" s="1" t="s">
        <v>26</v>
      </c>
      <c r="C33" s="1" t="s">
        <v>18</v>
      </c>
      <c r="D33" s="1" t="s">
        <v>392</v>
      </c>
      <c r="E33" s="1">
        <v>16661</v>
      </c>
      <c r="F33" s="1">
        <v>189258</v>
      </c>
      <c r="G33" s="1">
        <f t="shared" si="0"/>
        <v>205919</v>
      </c>
      <c r="H33" s="1">
        <v>40943</v>
      </c>
      <c r="I33" s="1">
        <v>15</v>
      </c>
      <c r="J33" s="1">
        <v>5</v>
      </c>
      <c r="K33" s="1">
        <f t="shared" si="6"/>
        <v>204715</v>
      </c>
      <c r="L33" s="1">
        <v>21</v>
      </c>
      <c r="M33" s="1">
        <f t="shared" si="4"/>
        <v>-655088</v>
      </c>
      <c r="N33" s="1">
        <f t="shared" si="5"/>
        <v>-861007</v>
      </c>
      <c r="O33" s="4">
        <f t="shared" si="1"/>
        <v>-1.3143379210121389</v>
      </c>
      <c r="P33" s="4">
        <f t="shared" si="2"/>
        <v>-131.25</v>
      </c>
      <c r="Q33" s="4">
        <f t="shared" si="3"/>
        <v>7.3272598490584468E-3</v>
      </c>
    </row>
    <row r="34" spans="1:17">
      <c r="A34" s="1" t="s">
        <v>55</v>
      </c>
      <c r="B34" s="1" t="s">
        <v>14</v>
      </c>
      <c r="C34" s="1" t="s">
        <v>31</v>
      </c>
      <c r="D34" s="1" t="s">
        <v>391</v>
      </c>
      <c r="E34" s="1">
        <v>12539</v>
      </c>
      <c r="F34" s="1">
        <v>124452</v>
      </c>
      <c r="G34" s="1">
        <f t="shared" si="0"/>
        <v>136991</v>
      </c>
      <c r="H34" s="1">
        <v>45233</v>
      </c>
      <c r="I34" s="1">
        <v>10</v>
      </c>
      <c r="J34" s="1">
        <v>23</v>
      </c>
      <c r="K34" s="1">
        <f t="shared" si="6"/>
        <v>1040359</v>
      </c>
      <c r="L34" s="1">
        <v>37</v>
      </c>
      <c r="M34" s="1">
        <f t="shared" si="4"/>
        <v>-633262</v>
      </c>
      <c r="N34" s="1">
        <f t="shared" si="5"/>
        <v>-770253</v>
      </c>
      <c r="O34" s="4">
        <f t="shared" si="1"/>
        <v>-1.2163259440800174</v>
      </c>
      <c r="P34" s="4">
        <f t="shared" si="2"/>
        <v>-264.28571428571428</v>
      </c>
      <c r="Q34" s="4">
        <f t="shared" si="3"/>
        <v>9.6120666039319123E-4</v>
      </c>
    </row>
    <row r="35" spans="1:17">
      <c r="A35" s="1" t="s">
        <v>56</v>
      </c>
      <c r="B35" s="1" t="s">
        <v>14</v>
      </c>
      <c r="C35" s="1" t="s">
        <v>15</v>
      </c>
      <c r="D35" s="1" t="s">
        <v>391</v>
      </c>
      <c r="E35" s="1">
        <v>21914</v>
      </c>
      <c r="F35" s="1">
        <v>235460</v>
      </c>
      <c r="G35" s="1">
        <f t="shared" si="0"/>
        <v>257374</v>
      </c>
      <c r="H35" s="1">
        <v>82581</v>
      </c>
      <c r="I35" s="1">
        <v>10</v>
      </c>
      <c r="J35" s="1">
        <v>45</v>
      </c>
      <c r="K35" s="1">
        <f t="shared" si="6"/>
        <v>3716145</v>
      </c>
      <c r="L35" s="1">
        <v>8</v>
      </c>
      <c r="M35" s="1">
        <f t="shared" si="4"/>
        <v>3055497</v>
      </c>
      <c r="N35" s="1">
        <f t="shared" si="5"/>
        <v>2798123</v>
      </c>
      <c r="O35" s="4">
        <f t="shared" si="1"/>
        <v>0.91576689487831275</v>
      </c>
      <c r="P35" s="4">
        <f t="shared" si="2"/>
        <v>21.621621621621621</v>
      </c>
      <c r="Q35" s="4">
        <f t="shared" si="3"/>
        <v>2.6909606595006385E-4</v>
      </c>
    </row>
    <row r="36" spans="1:17">
      <c r="A36" s="1" t="s">
        <v>57</v>
      </c>
      <c r="B36" s="1" t="s">
        <v>20</v>
      </c>
      <c r="C36" s="1" t="s">
        <v>21</v>
      </c>
      <c r="D36" s="1" t="s">
        <v>391</v>
      </c>
      <c r="E36" s="1">
        <v>9482</v>
      </c>
      <c r="F36" s="1">
        <v>97385</v>
      </c>
      <c r="G36" s="1">
        <f t="shared" si="0"/>
        <v>106867</v>
      </c>
      <c r="H36" s="1">
        <v>76628</v>
      </c>
      <c r="I36" s="1">
        <v>15</v>
      </c>
      <c r="J36" s="1">
        <v>44</v>
      </c>
      <c r="K36" s="1">
        <f t="shared" si="6"/>
        <v>3371632</v>
      </c>
      <c r="L36" s="1">
        <v>39</v>
      </c>
      <c r="M36" s="1">
        <f t="shared" si="4"/>
        <v>383140</v>
      </c>
      <c r="N36" s="1">
        <f t="shared" si="5"/>
        <v>276273</v>
      </c>
      <c r="O36" s="4">
        <f t="shared" si="1"/>
        <v>0.72107584694889593</v>
      </c>
      <c r="P36" s="4">
        <f t="shared" si="2"/>
        <v>780</v>
      </c>
      <c r="Q36" s="4">
        <f t="shared" si="3"/>
        <v>4.4488841012305021E-4</v>
      </c>
    </row>
    <row r="37" spans="1:17">
      <c r="A37" s="1" t="s">
        <v>58</v>
      </c>
      <c r="B37" s="1" t="s">
        <v>14</v>
      </c>
      <c r="C37" s="1" t="s">
        <v>38</v>
      </c>
      <c r="D37" s="1" t="s">
        <v>392</v>
      </c>
      <c r="E37" s="1">
        <v>47634</v>
      </c>
      <c r="F37" s="1">
        <v>281373</v>
      </c>
      <c r="G37" s="1">
        <f t="shared" si="0"/>
        <v>329007</v>
      </c>
      <c r="H37" s="1">
        <v>55026</v>
      </c>
      <c r="I37" s="1">
        <v>5</v>
      </c>
      <c r="J37" s="1">
        <v>82</v>
      </c>
      <c r="K37" s="1">
        <f t="shared" si="6"/>
        <v>4512132</v>
      </c>
      <c r="L37" s="1">
        <v>1</v>
      </c>
      <c r="M37" s="1">
        <f t="shared" si="4"/>
        <v>4457106</v>
      </c>
      <c r="N37" s="1">
        <f t="shared" si="5"/>
        <v>4128099</v>
      </c>
      <c r="O37" s="4">
        <f t="shared" si="1"/>
        <v>0.92618371651919429</v>
      </c>
      <c r="P37" s="4">
        <f t="shared" si="2"/>
        <v>1.2345679012345678</v>
      </c>
      <c r="Q37" s="4">
        <f t="shared" si="3"/>
        <v>1.1081236098589315E-4</v>
      </c>
    </row>
    <row r="38" spans="1:17">
      <c r="A38" s="1" t="s">
        <v>59</v>
      </c>
      <c r="B38" s="1" t="s">
        <v>17</v>
      </c>
      <c r="C38" s="1" t="s">
        <v>15</v>
      </c>
      <c r="D38" s="1" t="s">
        <v>392</v>
      </c>
      <c r="E38" s="1">
        <v>42632</v>
      </c>
      <c r="F38" s="1">
        <v>362737</v>
      </c>
      <c r="G38" s="1">
        <f t="shared" si="0"/>
        <v>405369</v>
      </c>
      <c r="H38" s="1">
        <v>32036</v>
      </c>
      <c r="I38" s="1">
        <v>5</v>
      </c>
      <c r="J38" s="1">
        <v>133</v>
      </c>
      <c r="K38" s="1">
        <f t="shared" si="6"/>
        <v>4260788</v>
      </c>
      <c r="L38" s="1">
        <v>16</v>
      </c>
      <c r="M38" s="1">
        <f t="shared" si="4"/>
        <v>3748212</v>
      </c>
      <c r="N38" s="1">
        <f t="shared" si="5"/>
        <v>3342843</v>
      </c>
      <c r="O38" s="4">
        <f t="shared" si="1"/>
        <v>0.89185003409625707</v>
      </c>
      <c r="P38" s="4">
        <f t="shared" si="2"/>
        <v>13.675213675213676</v>
      </c>
      <c r="Q38" s="4">
        <f t="shared" si="3"/>
        <v>1.1734918517419782E-4</v>
      </c>
    </row>
    <row r="39" spans="1:17">
      <c r="A39" s="1" t="s">
        <v>60</v>
      </c>
      <c r="B39" s="1" t="s">
        <v>17</v>
      </c>
      <c r="C39" s="1" t="s">
        <v>15</v>
      </c>
      <c r="D39" s="1" t="s">
        <v>392</v>
      </c>
      <c r="E39" s="1">
        <v>25849</v>
      </c>
      <c r="F39" s="1">
        <v>310593</v>
      </c>
      <c r="G39" s="1">
        <f t="shared" si="0"/>
        <v>336442</v>
      </c>
      <c r="H39" s="1">
        <v>40808</v>
      </c>
      <c r="I39" s="1">
        <v>0</v>
      </c>
      <c r="J39" s="1">
        <v>115</v>
      </c>
      <c r="K39" s="1">
        <f t="shared" si="6"/>
        <v>4692920</v>
      </c>
      <c r="L39" s="1">
        <v>19</v>
      </c>
      <c r="M39" s="1">
        <f t="shared" si="4"/>
        <v>3917568</v>
      </c>
      <c r="N39" s="1">
        <f t="shared" si="5"/>
        <v>3581126</v>
      </c>
      <c r="O39" s="4">
        <f t="shared" si="1"/>
        <v>0.91411967833104624</v>
      </c>
      <c r="P39" s="4">
        <f t="shared" si="2"/>
        <v>19.791666666666664</v>
      </c>
      <c r="Q39" s="4">
        <f t="shared" si="3"/>
        <v>0</v>
      </c>
    </row>
    <row r="40" spans="1:17">
      <c r="A40" s="1" t="s">
        <v>61</v>
      </c>
      <c r="B40" s="1" t="s">
        <v>26</v>
      </c>
      <c r="C40" s="1" t="s">
        <v>29</v>
      </c>
      <c r="D40" s="1" t="s">
        <v>391</v>
      </c>
      <c r="E40" s="1">
        <v>43942</v>
      </c>
      <c r="F40" s="1">
        <v>319590</v>
      </c>
      <c r="G40" s="1">
        <f t="shared" si="0"/>
        <v>363532</v>
      </c>
      <c r="H40" s="1">
        <v>63304</v>
      </c>
      <c r="I40" s="1">
        <v>10</v>
      </c>
      <c r="J40" s="1">
        <v>111</v>
      </c>
      <c r="K40" s="1">
        <f t="shared" si="6"/>
        <v>7026744</v>
      </c>
      <c r="L40" s="1">
        <v>12</v>
      </c>
      <c r="M40" s="1">
        <f t="shared" si="4"/>
        <v>6267096</v>
      </c>
      <c r="N40" s="1">
        <f t="shared" si="5"/>
        <v>5903564</v>
      </c>
      <c r="O40" s="4">
        <f t="shared" si="1"/>
        <v>0.94199354852710093</v>
      </c>
      <c r="P40" s="4">
        <f t="shared" si="2"/>
        <v>12.121212121212121</v>
      </c>
      <c r="Q40" s="4">
        <f t="shared" si="3"/>
        <v>1.4231342425453383E-4</v>
      </c>
    </row>
    <row r="41" spans="1:17">
      <c r="A41" s="1" t="s">
        <v>62</v>
      </c>
      <c r="B41" s="1" t="s">
        <v>26</v>
      </c>
      <c r="C41" s="1" t="s">
        <v>21</v>
      </c>
      <c r="D41" s="1" t="s">
        <v>392</v>
      </c>
      <c r="E41" s="1">
        <v>25688</v>
      </c>
      <c r="F41" s="1">
        <v>325926</v>
      </c>
      <c r="G41" s="1">
        <f t="shared" si="0"/>
        <v>351614</v>
      </c>
      <c r="H41" s="1">
        <v>83962</v>
      </c>
      <c r="I41" s="1">
        <v>5</v>
      </c>
      <c r="J41" s="1">
        <v>124</v>
      </c>
      <c r="K41" s="1">
        <f t="shared" si="6"/>
        <v>10411288</v>
      </c>
      <c r="L41" s="1">
        <v>21</v>
      </c>
      <c r="M41" s="1">
        <f t="shared" si="4"/>
        <v>8648086</v>
      </c>
      <c r="N41" s="1">
        <f t="shared" si="5"/>
        <v>8296472</v>
      </c>
      <c r="O41" s="4">
        <f t="shared" si="1"/>
        <v>0.95934198619208921</v>
      </c>
      <c r="P41" s="4">
        <f t="shared" si="2"/>
        <v>20.388349514563107</v>
      </c>
      <c r="Q41" s="4">
        <f t="shared" si="3"/>
        <v>4.8024797700342162E-5</v>
      </c>
    </row>
    <row r="42" spans="1:17">
      <c r="A42" s="1" t="s">
        <v>63</v>
      </c>
      <c r="B42" s="1" t="s">
        <v>14</v>
      </c>
      <c r="C42" s="1" t="s">
        <v>15</v>
      </c>
      <c r="D42" s="1" t="s">
        <v>391</v>
      </c>
      <c r="E42" s="1">
        <v>29616</v>
      </c>
      <c r="F42" s="1">
        <v>138800</v>
      </c>
      <c r="G42" s="1">
        <f t="shared" si="0"/>
        <v>168416</v>
      </c>
      <c r="H42" s="1">
        <v>50135</v>
      </c>
      <c r="I42" s="1">
        <v>20</v>
      </c>
      <c r="J42" s="1">
        <v>60</v>
      </c>
      <c r="K42" s="1">
        <f t="shared" si="6"/>
        <v>3008100</v>
      </c>
      <c r="L42" s="1">
        <v>10</v>
      </c>
      <c r="M42" s="1">
        <f t="shared" si="4"/>
        <v>2506750</v>
      </c>
      <c r="N42" s="1">
        <f t="shared" si="5"/>
        <v>2338334</v>
      </c>
      <c r="O42" s="4">
        <f t="shared" si="1"/>
        <v>0.93281499950134639</v>
      </c>
      <c r="P42" s="4">
        <f t="shared" si="2"/>
        <v>20</v>
      </c>
      <c r="Q42" s="4">
        <f t="shared" si="3"/>
        <v>6.6487151358000061E-4</v>
      </c>
    </row>
    <row r="43" spans="1:17">
      <c r="A43" s="1" t="s">
        <v>64</v>
      </c>
      <c r="B43" s="1" t="s">
        <v>20</v>
      </c>
      <c r="C43" s="1" t="s">
        <v>18</v>
      </c>
      <c r="D43" s="1" t="s">
        <v>391</v>
      </c>
      <c r="E43" s="1">
        <v>10624</v>
      </c>
      <c r="F43" s="1">
        <v>338811</v>
      </c>
      <c r="G43" s="1">
        <f t="shared" si="0"/>
        <v>349435</v>
      </c>
      <c r="H43" s="1">
        <v>69145</v>
      </c>
      <c r="I43" s="1">
        <v>0</v>
      </c>
      <c r="J43" s="1">
        <v>22</v>
      </c>
      <c r="K43" s="1">
        <f t="shared" si="6"/>
        <v>1521190</v>
      </c>
      <c r="L43" s="1">
        <v>0</v>
      </c>
      <c r="M43" s="1">
        <f t="shared" si="4"/>
        <v>1521190</v>
      </c>
      <c r="N43" s="1">
        <f t="shared" si="5"/>
        <v>1171755</v>
      </c>
      <c r="O43" s="4">
        <f t="shared" si="1"/>
        <v>0.77028839263997262</v>
      </c>
      <c r="P43" s="4">
        <f t="shared" si="2"/>
        <v>0</v>
      </c>
      <c r="Q43" s="4">
        <f t="shared" si="3"/>
        <v>0</v>
      </c>
    </row>
    <row r="44" spans="1:17">
      <c r="A44" s="1" t="s">
        <v>65</v>
      </c>
      <c r="B44" s="1" t="s">
        <v>20</v>
      </c>
      <c r="C44" s="1" t="s">
        <v>18</v>
      </c>
      <c r="D44" s="1" t="s">
        <v>392</v>
      </c>
      <c r="E44" s="1">
        <v>24498</v>
      </c>
      <c r="F44" s="1">
        <v>313490</v>
      </c>
      <c r="G44" s="1">
        <f t="shared" si="0"/>
        <v>337988</v>
      </c>
      <c r="H44" s="1">
        <v>60238</v>
      </c>
      <c r="I44" s="1">
        <v>0</v>
      </c>
      <c r="J44" s="1">
        <v>138</v>
      </c>
      <c r="K44" s="1">
        <f t="shared" si="6"/>
        <v>8312844</v>
      </c>
      <c r="L44" s="1">
        <v>40</v>
      </c>
      <c r="M44" s="1">
        <f t="shared" si="4"/>
        <v>5903324</v>
      </c>
      <c r="N44" s="1">
        <f t="shared" si="5"/>
        <v>5565336</v>
      </c>
      <c r="O44" s="4">
        <f t="shared" si="1"/>
        <v>0.94274615453937471</v>
      </c>
      <c r="P44" s="4">
        <f t="shared" si="2"/>
        <v>40.816326530612244</v>
      </c>
      <c r="Q44" s="4">
        <f t="shared" si="3"/>
        <v>0</v>
      </c>
    </row>
    <row r="45" spans="1:17">
      <c r="A45" s="1" t="s">
        <v>66</v>
      </c>
      <c r="B45" s="1" t="s">
        <v>20</v>
      </c>
      <c r="C45" s="1" t="s">
        <v>18</v>
      </c>
      <c r="D45" s="1" t="s">
        <v>391</v>
      </c>
      <c r="E45" s="1">
        <v>36722</v>
      </c>
      <c r="F45" s="1">
        <v>194336</v>
      </c>
      <c r="G45" s="1">
        <f t="shared" si="0"/>
        <v>231058</v>
      </c>
      <c r="H45" s="1">
        <v>54180</v>
      </c>
      <c r="I45" s="1">
        <v>5</v>
      </c>
      <c r="J45" s="1">
        <v>134</v>
      </c>
      <c r="K45" s="1">
        <f t="shared" si="6"/>
        <v>7260120</v>
      </c>
      <c r="L45" s="1">
        <v>17</v>
      </c>
      <c r="M45" s="1">
        <f t="shared" si="4"/>
        <v>6339060</v>
      </c>
      <c r="N45" s="1">
        <f t="shared" si="5"/>
        <v>6108002</v>
      </c>
      <c r="O45" s="4">
        <f t="shared" si="1"/>
        <v>0.96355011626329456</v>
      </c>
      <c r="P45" s="4">
        <f t="shared" si="2"/>
        <v>14.529914529914532</v>
      </c>
      <c r="Q45" s="4">
        <f t="shared" si="3"/>
        <v>6.8869385079034504E-5</v>
      </c>
    </row>
    <row r="46" spans="1:17">
      <c r="A46" s="1" t="s">
        <v>67</v>
      </c>
      <c r="B46" s="1" t="s">
        <v>14</v>
      </c>
      <c r="C46" s="1" t="s">
        <v>18</v>
      </c>
      <c r="D46" s="1" t="s">
        <v>391</v>
      </c>
      <c r="E46" s="1">
        <v>44958</v>
      </c>
      <c r="F46" s="1">
        <v>129969</v>
      </c>
      <c r="G46" s="1">
        <f t="shared" si="0"/>
        <v>174927</v>
      </c>
      <c r="H46" s="1">
        <v>79275</v>
      </c>
      <c r="I46" s="1">
        <v>0</v>
      </c>
      <c r="J46" s="1">
        <v>69</v>
      </c>
      <c r="K46" s="1">
        <f t="shared" si="6"/>
        <v>5469975</v>
      </c>
      <c r="L46" s="1">
        <v>40</v>
      </c>
      <c r="M46" s="1">
        <f t="shared" si="4"/>
        <v>2298975</v>
      </c>
      <c r="N46" s="1">
        <f t="shared" si="5"/>
        <v>2124048</v>
      </c>
      <c r="O46" s="4">
        <f t="shared" si="1"/>
        <v>0.92391087332398136</v>
      </c>
      <c r="P46" s="4">
        <f t="shared" si="2"/>
        <v>137.93103448275863</v>
      </c>
      <c r="Q46" s="4">
        <f t="shared" si="3"/>
        <v>0</v>
      </c>
    </row>
    <row r="47" spans="1:17">
      <c r="A47" s="1" t="s">
        <v>68</v>
      </c>
      <c r="B47" s="1" t="s">
        <v>20</v>
      </c>
      <c r="C47" s="1" t="s">
        <v>21</v>
      </c>
      <c r="D47" s="1" t="s">
        <v>391</v>
      </c>
      <c r="E47" s="1">
        <v>24323</v>
      </c>
      <c r="F47" s="1">
        <v>98026</v>
      </c>
      <c r="G47" s="1">
        <f t="shared" si="0"/>
        <v>122349</v>
      </c>
      <c r="H47" s="1">
        <v>15539</v>
      </c>
      <c r="I47" s="1">
        <v>10</v>
      </c>
      <c r="J47" s="1">
        <v>42</v>
      </c>
      <c r="K47" s="1">
        <f t="shared" si="6"/>
        <v>652638</v>
      </c>
      <c r="L47" s="1">
        <v>34</v>
      </c>
      <c r="M47" s="1">
        <f t="shared" si="4"/>
        <v>124312</v>
      </c>
      <c r="N47" s="1">
        <f t="shared" si="5"/>
        <v>1963</v>
      </c>
      <c r="O47" s="4">
        <f t="shared" si="1"/>
        <v>1.5790913186176717E-2</v>
      </c>
      <c r="P47" s="4">
        <f t="shared" si="2"/>
        <v>425</v>
      </c>
      <c r="Q47" s="4">
        <f t="shared" si="3"/>
        <v>1.5322429892222027E-3</v>
      </c>
    </row>
    <row r="48" spans="1:17">
      <c r="A48" s="1" t="s">
        <v>69</v>
      </c>
      <c r="B48" s="1" t="s">
        <v>14</v>
      </c>
      <c r="C48" s="1" t="s">
        <v>21</v>
      </c>
      <c r="D48" s="1" t="s">
        <v>391</v>
      </c>
      <c r="E48" s="1">
        <v>15577</v>
      </c>
      <c r="F48" s="1">
        <v>360459</v>
      </c>
      <c r="G48" s="1">
        <f t="shared" si="0"/>
        <v>376036</v>
      </c>
      <c r="H48" s="1">
        <v>29280</v>
      </c>
      <c r="I48" s="1">
        <v>10</v>
      </c>
      <c r="J48" s="1">
        <v>20</v>
      </c>
      <c r="K48" s="1">
        <f t="shared" si="6"/>
        <v>585600</v>
      </c>
      <c r="L48" s="1">
        <v>35</v>
      </c>
      <c r="M48" s="1">
        <f t="shared" si="4"/>
        <v>-439200</v>
      </c>
      <c r="N48" s="1">
        <f t="shared" si="5"/>
        <v>-815236</v>
      </c>
      <c r="O48" s="4">
        <f t="shared" si="1"/>
        <v>-1.8561839708561021</v>
      </c>
      <c r="P48" s="4">
        <f t="shared" si="2"/>
        <v>-233.33333333333334</v>
      </c>
      <c r="Q48" s="4">
        <f t="shared" si="3"/>
        <v>1.7076502732240437E-3</v>
      </c>
    </row>
    <row r="49" spans="1:17">
      <c r="A49" s="1" t="s">
        <v>70</v>
      </c>
      <c r="B49" s="1" t="s">
        <v>14</v>
      </c>
      <c r="C49" s="1" t="s">
        <v>18</v>
      </c>
      <c r="D49" s="1" t="s">
        <v>391</v>
      </c>
      <c r="E49" s="1">
        <v>7183</v>
      </c>
      <c r="F49" s="1">
        <v>347003</v>
      </c>
      <c r="G49" s="1">
        <f t="shared" si="0"/>
        <v>354186</v>
      </c>
      <c r="H49" s="1">
        <v>36284</v>
      </c>
      <c r="I49" s="1">
        <v>5</v>
      </c>
      <c r="J49" s="1">
        <v>40</v>
      </c>
      <c r="K49" s="1">
        <f t="shared" si="6"/>
        <v>1451360</v>
      </c>
      <c r="L49" s="1">
        <v>29</v>
      </c>
      <c r="M49" s="1">
        <f t="shared" si="4"/>
        <v>399124</v>
      </c>
      <c r="N49" s="1">
        <f t="shared" si="5"/>
        <v>44938</v>
      </c>
      <c r="O49" s="4">
        <f t="shared" si="1"/>
        <v>0.1125915755504555</v>
      </c>
      <c r="P49" s="4">
        <f t="shared" si="2"/>
        <v>263.63636363636363</v>
      </c>
      <c r="Q49" s="4">
        <f t="shared" si="3"/>
        <v>3.4450446477786353E-4</v>
      </c>
    </row>
    <row r="50" spans="1:17">
      <c r="A50" s="1" t="s">
        <v>71</v>
      </c>
      <c r="B50" s="1" t="s">
        <v>20</v>
      </c>
      <c r="C50" s="1" t="s">
        <v>29</v>
      </c>
      <c r="D50" s="1" t="s">
        <v>392</v>
      </c>
      <c r="E50" s="1">
        <v>31712</v>
      </c>
      <c r="F50" s="1">
        <v>273575</v>
      </c>
      <c r="G50" s="1">
        <f t="shared" si="0"/>
        <v>305287</v>
      </c>
      <c r="H50" s="1">
        <v>23774</v>
      </c>
      <c r="I50" s="1">
        <v>5</v>
      </c>
      <c r="J50" s="1">
        <v>27</v>
      </c>
      <c r="K50" s="1">
        <f t="shared" si="6"/>
        <v>641898</v>
      </c>
      <c r="L50" s="1">
        <v>12</v>
      </c>
      <c r="M50" s="1">
        <f t="shared" si="4"/>
        <v>356610</v>
      </c>
      <c r="N50" s="1">
        <f t="shared" si="5"/>
        <v>51323</v>
      </c>
      <c r="O50" s="4">
        <f t="shared" si="1"/>
        <v>0.14391912733798828</v>
      </c>
      <c r="P50" s="4">
        <f t="shared" si="2"/>
        <v>80</v>
      </c>
      <c r="Q50" s="4">
        <f t="shared" si="3"/>
        <v>7.7893995619241689E-4</v>
      </c>
    </row>
    <row r="51" spans="1:17">
      <c r="A51" s="1" t="s">
        <v>72</v>
      </c>
      <c r="B51" s="1" t="s">
        <v>17</v>
      </c>
      <c r="C51" s="1" t="s">
        <v>18</v>
      </c>
      <c r="D51" s="1" t="s">
        <v>391</v>
      </c>
      <c r="E51" s="1">
        <v>23875</v>
      </c>
      <c r="F51" s="1">
        <v>165658</v>
      </c>
      <c r="G51" s="1">
        <f t="shared" si="0"/>
        <v>189533</v>
      </c>
      <c r="H51" s="1">
        <v>26129</v>
      </c>
      <c r="I51" s="1">
        <v>20</v>
      </c>
      <c r="J51" s="1">
        <v>10</v>
      </c>
      <c r="K51" s="1">
        <f t="shared" si="6"/>
        <v>261290</v>
      </c>
      <c r="L51" s="1">
        <v>4</v>
      </c>
      <c r="M51" s="1">
        <f t="shared" si="4"/>
        <v>156774</v>
      </c>
      <c r="N51" s="1">
        <f t="shared" si="5"/>
        <v>-32759</v>
      </c>
      <c r="O51" s="4">
        <f t="shared" si="1"/>
        <v>-0.20895684233355022</v>
      </c>
      <c r="P51" s="4">
        <f t="shared" si="2"/>
        <v>66.666666666666657</v>
      </c>
      <c r="Q51" s="4">
        <f t="shared" si="3"/>
        <v>7.6543304374449839E-3</v>
      </c>
    </row>
    <row r="52" spans="1:17">
      <c r="A52" s="1" t="s">
        <v>73</v>
      </c>
      <c r="B52" s="1" t="s">
        <v>20</v>
      </c>
      <c r="C52" s="1" t="s">
        <v>74</v>
      </c>
      <c r="D52" s="1" t="s">
        <v>392</v>
      </c>
      <c r="E52" s="1">
        <v>48929</v>
      </c>
      <c r="F52" s="1">
        <v>52980</v>
      </c>
      <c r="G52" s="1">
        <f t="shared" si="0"/>
        <v>101909</v>
      </c>
      <c r="H52" s="1">
        <v>36208</v>
      </c>
      <c r="I52" s="1">
        <v>5</v>
      </c>
      <c r="J52" s="1">
        <v>63</v>
      </c>
      <c r="K52" s="1">
        <f t="shared" si="6"/>
        <v>2281104</v>
      </c>
      <c r="L52" s="1">
        <v>33</v>
      </c>
      <c r="M52" s="1">
        <f t="shared" si="4"/>
        <v>1086240</v>
      </c>
      <c r="N52" s="1">
        <f t="shared" si="5"/>
        <v>984331</v>
      </c>
      <c r="O52" s="4">
        <f t="shared" si="1"/>
        <v>0.90618187509206072</v>
      </c>
      <c r="P52" s="4">
        <f t="shared" si="2"/>
        <v>110.00000000000001</v>
      </c>
      <c r="Q52" s="4">
        <f t="shared" si="3"/>
        <v>2.1919211048685198E-4</v>
      </c>
    </row>
    <row r="53" spans="1:17">
      <c r="A53" s="1" t="s">
        <v>75</v>
      </c>
      <c r="B53" s="1" t="s">
        <v>26</v>
      </c>
      <c r="C53" s="1" t="s">
        <v>15</v>
      </c>
      <c r="D53" s="1" t="s">
        <v>391</v>
      </c>
      <c r="E53" s="1">
        <v>11916</v>
      </c>
      <c r="F53" s="1">
        <v>69024</v>
      </c>
      <c r="G53" s="1">
        <f t="shared" si="0"/>
        <v>80940</v>
      </c>
      <c r="H53" s="1">
        <v>74595</v>
      </c>
      <c r="I53" s="1">
        <v>10</v>
      </c>
      <c r="J53" s="1">
        <v>82</v>
      </c>
      <c r="K53" s="1">
        <f t="shared" si="6"/>
        <v>6116790</v>
      </c>
      <c r="L53" s="1">
        <v>14</v>
      </c>
      <c r="M53" s="1">
        <f t="shared" si="4"/>
        <v>5072460</v>
      </c>
      <c r="N53" s="1">
        <f t="shared" si="5"/>
        <v>4991520</v>
      </c>
      <c r="O53" s="4">
        <f t="shared" si="1"/>
        <v>0.9840432452892679</v>
      </c>
      <c r="P53" s="4">
        <f t="shared" si="2"/>
        <v>20.588235294117645</v>
      </c>
      <c r="Q53" s="4">
        <f t="shared" si="3"/>
        <v>1.6348444200307678E-4</v>
      </c>
    </row>
    <row r="54" spans="1:17">
      <c r="A54" s="1" t="s">
        <v>76</v>
      </c>
      <c r="B54" s="1" t="s">
        <v>26</v>
      </c>
      <c r="C54" s="1" t="s">
        <v>29</v>
      </c>
      <c r="D54" s="1" t="s">
        <v>391</v>
      </c>
      <c r="E54" s="1">
        <v>7096</v>
      </c>
      <c r="F54" s="1">
        <v>94163</v>
      </c>
      <c r="G54" s="1">
        <f t="shared" si="0"/>
        <v>101259</v>
      </c>
      <c r="H54" s="1">
        <v>21981</v>
      </c>
      <c r="I54" s="1">
        <v>15</v>
      </c>
      <c r="J54" s="1">
        <v>140</v>
      </c>
      <c r="K54" s="1">
        <f t="shared" si="6"/>
        <v>3077340</v>
      </c>
      <c r="L54" s="1">
        <v>34</v>
      </c>
      <c r="M54" s="1">
        <f t="shared" si="4"/>
        <v>2329986</v>
      </c>
      <c r="N54" s="1">
        <f t="shared" si="5"/>
        <v>2228727</v>
      </c>
      <c r="O54" s="4">
        <f t="shared" si="1"/>
        <v>0.95654094058934258</v>
      </c>
      <c r="P54" s="4">
        <f t="shared" si="2"/>
        <v>32.075471698113205</v>
      </c>
      <c r="Q54" s="4">
        <f t="shared" si="3"/>
        <v>4.8743395269940917E-4</v>
      </c>
    </row>
    <row r="55" spans="1:17">
      <c r="A55" s="1" t="s">
        <v>77</v>
      </c>
      <c r="B55" s="1" t="s">
        <v>20</v>
      </c>
      <c r="C55" s="1" t="s">
        <v>21</v>
      </c>
      <c r="D55" s="1" t="s">
        <v>391</v>
      </c>
      <c r="E55" s="1">
        <v>16282</v>
      </c>
      <c r="F55" s="1">
        <v>125905</v>
      </c>
      <c r="G55" s="1">
        <f t="shared" si="0"/>
        <v>142187</v>
      </c>
      <c r="H55" s="1">
        <v>53952</v>
      </c>
      <c r="I55" s="1">
        <v>20</v>
      </c>
      <c r="J55" s="1">
        <v>51</v>
      </c>
      <c r="K55" s="1">
        <f t="shared" si="6"/>
        <v>2751552</v>
      </c>
      <c r="L55" s="1">
        <v>18</v>
      </c>
      <c r="M55" s="1">
        <f t="shared" si="4"/>
        <v>1780416</v>
      </c>
      <c r="N55" s="1">
        <f t="shared" si="5"/>
        <v>1638229</v>
      </c>
      <c r="O55" s="4">
        <f t="shared" si="1"/>
        <v>0.92013832722240196</v>
      </c>
      <c r="P55" s="4">
        <f t="shared" si="2"/>
        <v>54.54545454545454</v>
      </c>
      <c r="Q55" s="4">
        <f t="shared" si="3"/>
        <v>7.2686251250203527E-4</v>
      </c>
    </row>
    <row r="56" spans="1:17">
      <c r="A56" s="1" t="s">
        <v>78</v>
      </c>
      <c r="B56" s="1" t="s">
        <v>14</v>
      </c>
      <c r="C56" s="1" t="s">
        <v>18</v>
      </c>
      <c r="D56" s="1" t="s">
        <v>391</v>
      </c>
      <c r="E56" s="1">
        <v>16614</v>
      </c>
      <c r="F56" s="1">
        <v>145064</v>
      </c>
      <c r="G56" s="1">
        <f t="shared" si="0"/>
        <v>161678</v>
      </c>
      <c r="H56" s="1">
        <v>38895</v>
      </c>
      <c r="I56" s="1">
        <v>5</v>
      </c>
      <c r="J56" s="1">
        <v>43</v>
      </c>
      <c r="K56" s="1">
        <f t="shared" si="6"/>
        <v>1672485</v>
      </c>
      <c r="L56" s="1">
        <v>27</v>
      </c>
      <c r="M56" s="1">
        <f t="shared" si="4"/>
        <v>622320</v>
      </c>
      <c r="N56" s="1">
        <f t="shared" si="5"/>
        <v>460642</v>
      </c>
      <c r="O56" s="4">
        <f t="shared" si="1"/>
        <v>0.74020118267129453</v>
      </c>
      <c r="P56" s="4">
        <f t="shared" si="2"/>
        <v>168.75</v>
      </c>
      <c r="Q56" s="4">
        <f t="shared" si="3"/>
        <v>2.9895634340517259E-4</v>
      </c>
    </row>
    <row r="57" spans="1:17">
      <c r="A57" s="1" t="s">
        <v>79</v>
      </c>
      <c r="B57" s="1" t="s">
        <v>14</v>
      </c>
      <c r="C57" s="1" t="s">
        <v>18</v>
      </c>
      <c r="D57" s="1" t="s">
        <v>391</v>
      </c>
      <c r="E57" s="1">
        <v>21589</v>
      </c>
      <c r="F57" s="1">
        <v>85745</v>
      </c>
      <c r="G57" s="1">
        <f t="shared" si="0"/>
        <v>107334</v>
      </c>
      <c r="H57" s="1">
        <v>64104</v>
      </c>
      <c r="I57" s="1">
        <v>5</v>
      </c>
      <c r="J57" s="1">
        <v>29</v>
      </c>
      <c r="K57" s="1">
        <f t="shared" si="6"/>
        <v>1859016</v>
      </c>
      <c r="L57" s="1">
        <v>2</v>
      </c>
      <c r="M57" s="1">
        <f t="shared" si="4"/>
        <v>1730808</v>
      </c>
      <c r="N57" s="1">
        <f t="shared" si="5"/>
        <v>1623474</v>
      </c>
      <c r="O57" s="4">
        <f t="shared" si="1"/>
        <v>0.93798618910936393</v>
      </c>
      <c r="P57" s="4">
        <f t="shared" si="2"/>
        <v>7.4074074074074066</v>
      </c>
      <c r="Q57" s="4">
        <f t="shared" si="3"/>
        <v>2.6895949254874619E-4</v>
      </c>
    </row>
    <row r="58" spans="1:17">
      <c r="A58" s="1" t="s">
        <v>80</v>
      </c>
      <c r="B58" s="1" t="s">
        <v>14</v>
      </c>
      <c r="C58" s="1" t="s">
        <v>18</v>
      </c>
      <c r="D58" s="1" t="s">
        <v>391</v>
      </c>
      <c r="E58" s="1">
        <v>17555</v>
      </c>
      <c r="F58" s="1">
        <v>110319</v>
      </c>
      <c r="G58" s="1">
        <f t="shared" si="0"/>
        <v>127874</v>
      </c>
      <c r="H58" s="1">
        <v>33125</v>
      </c>
      <c r="I58" s="1">
        <v>5</v>
      </c>
      <c r="J58" s="1">
        <v>32</v>
      </c>
      <c r="K58" s="1">
        <f t="shared" si="6"/>
        <v>1060000</v>
      </c>
      <c r="L58" s="1">
        <v>1</v>
      </c>
      <c r="M58" s="1">
        <f t="shared" si="4"/>
        <v>1026875</v>
      </c>
      <c r="N58" s="1">
        <f t="shared" si="5"/>
        <v>899001</v>
      </c>
      <c r="O58" s="4">
        <f t="shared" si="1"/>
        <v>0.8754726719415703</v>
      </c>
      <c r="P58" s="4">
        <f t="shared" si="2"/>
        <v>3.225806451612903</v>
      </c>
      <c r="Q58" s="4">
        <f t="shared" si="3"/>
        <v>4.7169811320754717E-4</v>
      </c>
    </row>
    <row r="59" spans="1:17">
      <c r="A59" s="1" t="s">
        <v>81</v>
      </c>
      <c r="B59" s="1" t="s">
        <v>17</v>
      </c>
      <c r="C59" s="1" t="s">
        <v>21</v>
      </c>
      <c r="D59" s="1" t="s">
        <v>392</v>
      </c>
      <c r="E59" s="1">
        <v>31469</v>
      </c>
      <c r="F59" s="1">
        <v>128120</v>
      </c>
      <c r="G59" s="1">
        <f t="shared" si="0"/>
        <v>159589</v>
      </c>
      <c r="H59" s="1">
        <v>84647</v>
      </c>
      <c r="I59" s="1">
        <v>20</v>
      </c>
      <c r="J59" s="1">
        <v>12</v>
      </c>
      <c r="K59" s="1">
        <f t="shared" si="6"/>
        <v>1015764</v>
      </c>
      <c r="L59" s="1">
        <v>16</v>
      </c>
      <c r="M59" s="1">
        <f t="shared" si="4"/>
        <v>-338588</v>
      </c>
      <c r="N59" s="1">
        <f t="shared" si="5"/>
        <v>-498177</v>
      </c>
      <c r="O59" s="4">
        <f t="shared" si="1"/>
        <v>-1.471336845960282</v>
      </c>
      <c r="P59" s="4">
        <f t="shared" si="2"/>
        <v>-400</v>
      </c>
      <c r="Q59" s="4">
        <f t="shared" si="3"/>
        <v>1.9689612941588795E-3</v>
      </c>
    </row>
    <row r="60" spans="1:17">
      <c r="A60" s="1" t="s">
        <v>82</v>
      </c>
      <c r="B60" s="1" t="s">
        <v>14</v>
      </c>
      <c r="C60" s="1" t="s">
        <v>18</v>
      </c>
      <c r="D60" s="1" t="s">
        <v>391</v>
      </c>
      <c r="E60" s="1">
        <v>43779</v>
      </c>
      <c r="F60" s="1">
        <v>373898</v>
      </c>
      <c r="G60" s="1">
        <f t="shared" si="0"/>
        <v>417677</v>
      </c>
      <c r="H60" s="1">
        <v>13811</v>
      </c>
      <c r="I60" s="1">
        <v>15</v>
      </c>
      <c r="J60" s="1">
        <v>120</v>
      </c>
      <c r="K60" s="1">
        <f t="shared" si="6"/>
        <v>1657320</v>
      </c>
      <c r="L60" s="1">
        <v>40</v>
      </c>
      <c r="M60" s="1">
        <f t="shared" si="4"/>
        <v>1104880</v>
      </c>
      <c r="N60" s="1">
        <f t="shared" si="5"/>
        <v>687203</v>
      </c>
      <c r="O60" s="4">
        <f t="shared" si="1"/>
        <v>0.62197071175150243</v>
      </c>
      <c r="P60" s="4">
        <f t="shared" si="2"/>
        <v>50</v>
      </c>
      <c r="Q60" s="4">
        <f t="shared" si="3"/>
        <v>9.0507566432553759E-4</v>
      </c>
    </row>
    <row r="61" spans="1:17">
      <c r="A61" s="1" t="s">
        <v>83</v>
      </c>
      <c r="B61" s="1" t="s">
        <v>26</v>
      </c>
      <c r="C61" s="1" t="s">
        <v>18</v>
      </c>
      <c r="D61" s="1" t="s">
        <v>393</v>
      </c>
      <c r="E61" s="1">
        <v>44682</v>
      </c>
      <c r="F61" s="1">
        <v>378887</v>
      </c>
      <c r="G61" s="1">
        <f t="shared" si="0"/>
        <v>423569</v>
      </c>
      <c r="H61" s="1">
        <v>49441</v>
      </c>
      <c r="I61" s="1">
        <v>5</v>
      </c>
      <c r="J61" s="1">
        <v>143</v>
      </c>
      <c r="K61" s="1">
        <f t="shared" si="6"/>
        <v>7070063</v>
      </c>
      <c r="L61" s="1">
        <v>36</v>
      </c>
      <c r="M61" s="1">
        <f t="shared" si="4"/>
        <v>5290187</v>
      </c>
      <c r="N61" s="1">
        <f t="shared" si="5"/>
        <v>4866618</v>
      </c>
      <c r="O61" s="4">
        <f t="shared" si="1"/>
        <v>0.91993307608974884</v>
      </c>
      <c r="P61" s="4">
        <f t="shared" si="2"/>
        <v>33.644859813084111</v>
      </c>
      <c r="Q61" s="4">
        <f t="shared" si="3"/>
        <v>7.0720727665368757E-5</v>
      </c>
    </row>
    <row r="62" spans="1:17">
      <c r="A62" s="1" t="s">
        <v>84</v>
      </c>
      <c r="B62" s="1" t="s">
        <v>20</v>
      </c>
      <c r="C62" s="1" t="s">
        <v>31</v>
      </c>
      <c r="D62" s="1" t="s">
        <v>394</v>
      </c>
      <c r="E62" s="1">
        <v>6715</v>
      </c>
      <c r="F62" s="1">
        <v>272986</v>
      </c>
      <c r="G62" s="1">
        <f t="shared" si="0"/>
        <v>279701</v>
      </c>
      <c r="H62" s="1">
        <v>80248</v>
      </c>
      <c r="I62" s="1">
        <v>0</v>
      </c>
      <c r="J62" s="1">
        <v>65</v>
      </c>
      <c r="K62" s="1">
        <f t="shared" si="6"/>
        <v>5216120</v>
      </c>
      <c r="L62" s="1">
        <v>8</v>
      </c>
      <c r="M62" s="1">
        <f t="shared" si="4"/>
        <v>4574136</v>
      </c>
      <c r="N62" s="1">
        <f t="shared" si="5"/>
        <v>4294435</v>
      </c>
      <c r="O62" s="4">
        <f t="shared" si="1"/>
        <v>0.93885162137723932</v>
      </c>
      <c r="P62" s="4">
        <f t="shared" si="2"/>
        <v>14.035087719298245</v>
      </c>
      <c r="Q62" s="4">
        <f t="shared" si="3"/>
        <v>0</v>
      </c>
    </row>
    <row r="63" spans="1:17">
      <c r="A63" s="1" t="s">
        <v>85</v>
      </c>
      <c r="B63" s="1" t="s">
        <v>14</v>
      </c>
      <c r="C63" s="1" t="s">
        <v>29</v>
      </c>
      <c r="D63" s="1" t="s">
        <v>391</v>
      </c>
      <c r="E63" s="1">
        <v>40727</v>
      </c>
      <c r="F63" s="1">
        <v>94489</v>
      </c>
      <c r="G63" s="1">
        <f t="shared" si="0"/>
        <v>135216</v>
      </c>
      <c r="H63" s="1">
        <v>51198</v>
      </c>
      <c r="I63" s="1">
        <v>15</v>
      </c>
      <c r="J63" s="1">
        <v>106</v>
      </c>
      <c r="K63" s="1">
        <f t="shared" si="6"/>
        <v>5426988</v>
      </c>
      <c r="L63" s="1">
        <v>4</v>
      </c>
      <c r="M63" s="1">
        <f t="shared" si="4"/>
        <v>5222196</v>
      </c>
      <c r="N63" s="1">
        <f t="shared" si="5"/>
        <v>5086980</v>
      </c>
      <c r="O63" s="4">
        <f t="shared" si="1"/>
        <v>0.97410744445440189</v>
      </c>
      <c r="P63" s="4">
        <f t="shared" si="2"/>
        <v>3.9215686274509802</v>
      </c>
      <c r="Q63" s="4">
        <f t="shared" si="3"/>
        <v>2.763964099423105E-4</v>
      </c>
    </row>
    <row r="64" spans="1:17">
      <c r="A64" s="1" t="s">
        <v>86</v>
      </c>
      <c r="B64" s="1" t="s">
        <v>20</v>
      </c>
      <c r="C64" s="1" t="s">
        <v>74</v>
      </c>
      <c r="D64" s="1" t="s">
        <v>391</v>
      </c>
      <c r="E64" s="1">
        <v>32994</v>
      </c>
      <c r="F64" s="1">
        <v>313211</v>
      </c>
      <c r="G64" s="1">
        <f t="shared" si="0"/>
        <v>346205</v>
      </c>
      <c r="H64" s="1">
        <v>81129</v>
      </c>
      <c r="I64" s="1">
        <v>15</v>
      </c>
      <c r="J64" s="1">
        <v>63</v>
      </c>
      <c r="K64" s="1">
        <f t="shared" si="6"/>
        <v>5111127</v>
      </c>
      <c r="L64" s="1">
        <v>18</v>
      </c>
      <c r="M64" s="1">
        <f t="shared" si="4"/>
        <v>3650805</v>
      </c>
      <c r="N64" s="1">
        <f t="shared" si="5"/>
        <v>3304600</v>
      </c>
      <c r="O64" s="4">
        <f t="shared" si="1"/>
        <v>0.90517022957950366</v>
      </c>
      <c r="P64" s="4">
        <f t="shared" si="2"/>
        <v>40</v>
      </c>
      <c r="Q64" s="4">
        <f t="shared" si="3"/>
        <v>2.9347734853780777E-4</v>
      </c>
    </row>
    <row r="65" spans="1:17">
      <c r="A65" s="1" t="s">
        <v>87</v>
      </c>
      <c r="B65" s="1" t="s">
        <v>20</v>
      </c>
      <c r="C65" s="1" t="s">
        <v>29</v>
      </c>
      <c r="D65" s="1" t="s">
        <v>391</v>
      </c>
      <c r="E65" s="1">
        <v>37661</v>
      </c>
      <c r="F65" s="1">
        <v>127128</v>
      </c>
      <c r="G65" s="1">
        <f t="shared" si="0"/>
        <v>164789</v>
      </c>
      <c r="H65" s="1">
        <v>11456</v>
      </c>
      <c r="I65" s="1">
        <v>5</v>
      </c>
      <c r="J65" s="1">
        <v>139</v>
      </c>
      <c r="K65" s="1">
        <f t="shared" si="6"/>
        <v>1592384</v>
      </c>
      <c r="L65" s="1">
        <v>18</v>
      </c>
      <c r="M65" s="1">
        <f t="shared" si="4"/>
        <v>1386176</v>
      </c>
      <c r="N65" s="1">
        <f t="shared" si="5"/>
        <v>1221387</v>
      </c>
      <c r="O65" s="4">
        <f t="shared" si="1"/>
        <v>0.88111971351401264</v>
      </c>
      <c r="P65" s="4">
        <f t="shared" si="2"/>
        <v>14.87603305785124</v>
      </c>
      <c r="Q65" s="4">
        <f t="shared" si="3"/>
        <v>3.1399461436437443E-4</v>
      </c>
    </row>
    <row r="66" spans="1:17">
      <c r="A66" s="1" t="s">
        <v>88</v>
      </c>
      <c r="B66" s="1" t="s">
        <v>26</v>
      </c>
      <c r="C66" s="1" t="s">
        <v>74</v>
      </c>
      <c r="D66" s="1" t="s">
        <v>391</v>
      </c>
      <c r="E66" s="1">
        <v>22508</v>
      </c>
      <c r="F66" s="1">
        <v>87833</v>
      </c>
      <c r="G66" s="1">
        <f t="shared" si="0"/>
        <v>110341</v>
      </c>
      <c r="H66" s="1">
        <v>25936</v>
      </c>
      <c r="I66" s="1">
        <v>5</v>
      </c>
      <c r="J66" s="1">
        <v>36</v>
      </c>
      <c r="K66" s="1">
        <f t="shared" si="6"/>
        <v>933696</v>
      </c>
      <c r="L66" s="1">
        <v>23</v>
      </c>
      <c r="M66" s="1">
        <f t="shared" si="4"/>
        <v>337168</v>
      </c>
      <c r="N66" s="1">
        <f t="shared" si="5"/>
        <v>226827</v>
      </c>
      <c r="O66" s="4">
        <f t="shared" si="1"/>
        <v>0.67274177857922457</v>
      </c>
      <c r="P66" s="4">
        <f t="shared" si="2"/>
        <v>176.92307692307691</v>
      </c>
      <c r="Q66" s="4">
        <f t="shared" si="3"/>
        <v>5.3550620330385904E-4</v>
      </c>
    </row>
    <row r="67" spans="1:17">
      <c r="A67" s="1" t="s">
        <v>89</v>
      </c>
      <c r="B67" s="1" t="s">
        <v>26</v>
      </c>
      <c r="C67" s="1" t="s">
        <v>29</v>
      </c>
      <c r="D67" s="1" t="s">
        <v>392</v>
      </c>
      <c r="E67" s="1">
        <v>13381</v>
      </c>
      <c r="F67" s="1">
        <v>325758</v>
      </c>
      <c r="G67" s="1">
        <f t="shared" ref="G67:G130" si="7">E67+F67</f>
        <v>339139</v>
      </c>
      <c r="H67" s="1">
        <v>41577</v>
      </c>
      <c r="I67" s="1">
        <v>5</v>
      </c>
      <c r="J67" s="1">
        <v>103</v>
      </c>
      <c r="K67" s="1">
        <f t="shared" si="6"/>
        <v>4282431</v>
      </c>
      <c r="L67" s="1">
        <v>38</v>
      </c>
      <c r="M67" s="1">
        <f t="shared" si="4"/>
        <v>2702505</v>
      </c>
      <c r="N67" s="1">
        <f t="shared" si="5"/>
        <v>2363366</v>
      </c>
      <c r="O67" s="4">
        <f t="shared" ref="O67:O130" si="8">SUM(N67/ABS(M67))</f>
        <v>0.874509390361905</v>
      </c>
      <c r="P67" s="4">
        <f t="shared" ref="P67:P130" si="9">SUM(H67*L67)/M67*100</f>
        <v>58.461538461538467</v>
      </c>
      <c r="Q67" s="4">
        <f t="shared" ref="Q67:Q130" si="10">I67/K67*100</f>
        <v>1.1675611352523834E-4</v>
      </c>
    </row>
    <row r="68" spans="1:17">
      <c r="A68" s="1" t="s">
        <v>90</v>
      </c>
      <c r="B68" s="1" t="s">
        <v>14</v>
      </c>
      <c r="C68" s="1" t="s">
        <v>15</v>
      </c>
      <c r="D68" s="1" t="s">
        <v>391</v>
      </c>
      <c r="E68" s="1">
        <v>22856</v>
      </c>
      <c r="F68" s="1">
        <v>248018</v>
      </c>
      <c r="G68" s="1">
        <f t="shared" si="7"/>
        <v>270874</v>
      </c>
      <c r="H68" s="1">
        <v>78753</v>
      </c>
      <c r="I68" s="1">
        <v>20</v>
      </c>
      <c r="J68" s="1">
        <v>126</v>
      </c>
      <c r="K68" s="1">
        <f t="shared" si="6"/>
        <v>9922878</v>
      </c>
      <c r="L68" s="1">
        <v>31</v>
      </c>
      <c r="M68" s="1">
        <f t="shared" ref="M68:M131" si="11">K68-H68*L68</f>
        <v>7481535</v>
      </c>
      <c r="N68" s="1">
        <f t="shared" ref="N68:N131" si="12">M68-G68</f>
        <v>7210661</v>
      </c>
      <c r="O68" s="4">
        <f t="shared" si="8"/>
        <v>0.96379432830294853</v>
      </c>
      <c r="P68" s="4">
        <f t="shared" si="9"/>
        <v>32.631578947368425</v>
      </c>
      <c r="Q68" s="4">
        <f t="shared" si="10"/>
        <v>2.0155442806008497E-4</v>
      </c>
    </row>
    <row r="69" spans="1:17">
      <c r="A69" s="1" t="s">
        <v>91</v>
      </c>
      <c r="B69" s="1" t="s">
        <v>26</v>
      </c>
      <c r="C69" s="1" t="s">
        <v>21</v>
      </c>
      <c r="D69" s="1" t="s">
        <v>392</v>
      </c>
      <c r="E69" s="1">
        <v>36822</v>
      </c>
      <c r="F69" s="1">
        <v>79049</v>
      </c>
      <c r="G69" s="1">
        <f t="shared" si="7"/>
        <v>115871</v>
      </c>
      <c r="H69" s="1">
        <v>15454</v>
      </c>
      <c r="I69" s="1">
        <v>15</v>
      </c>
      <c r="J69" s="1">
        <v>70</v>
      </c>
      <c r="K69" s="1">
        <f t="shared" ref="K69:K132" si="13">H69*J69</f>
        <v>1081780</v>
      </c>
      <c r="L69" s="1">
        <v>37</v>
      </c>
      <c r="M69" s="1">
        <f t="shared" si="11"/>
        <v>509982</v>
      </c>
      <c r="N69" s="1">
        <f t="shared" si="12"/>
        <v>394111</v>
      </c>
      <c r="O69" s="4">
        <f t="shared" si="8"/>
        <v>0.77279394174696359</v>
      </c>
      <c r="P69" s="4">
        <f t="shared" si="9"/>
        <v>112.12121212121211</v>
      </c>
      <c r="Q69" s="4">
        <f t="shared" si="10"/>
        <v>1.386603560797944E-3</v>
      </c>
    </row>
    <row r="70" spans="1:17">
      <c r="A70" s="1" t="s">
        <v>92</v>
      </c>
      <c r="B70" s="1" t="s">
        <v>20</v>
      </c>
      <c r="C70" s="1" t="s">
        <v>29</v>
      </c>
      <c r="D70" s="1" t="s">
        <v>392</v>
      </c>
      <c r="E70" s="1">
        <v>13388</v>
      </c>
      <c r="F70" s="1">
        <v>202666</v>
      </c>
      <c r="G70" s="1">
        <f t="shared" si="7"/>
        <v>216054</v>
      </c>
      <c r="H70" s="1">
        <v>63144</v>
      </c>
      <c r="I70" s="1">
        <v>0</v>
      </c>
      <c r="J70" s="1">
        <v>147</v>
      </c>
      <c r="K70" s="1">
        <f t="shared" si="13"/>
        <v>9282168</v>
      </c>
      <c r="L70" s="1">
        <v>11</v>
      </c>
      <c r="M70" s="1">
        <f t="shared" si="11"/>
        <v>8587584</v>
      </c>
      <c r="N70" s="1">
        <f t="shared" si="12"/>
        <v>8371530</v>
      </c>
      <c r="O70" s="4">
        <f t="shared" si="8"/>
        <v>0.97484111945804552</v>
      </c>
      <c r="P70" s="4">
        <f t="shared" si="9"/>
        <v>8.0882352941176467</v>
      </c>
      <c r="Q70" s="4">
        <f t="shared" si="10"/>
        <v>0</v>
      </c>
    </row>
    <row r="71" spans="1:17">
      <c r="A71" s="1" t="s">
        <v>93</v>
      </c>
      <c r="B71" s="1" t="s">
        <v>26</v>
      </c>
      <c r="C71" s="1" t="s">
        <v>74</v>
      </c>
      <c r="D71" s="1" t="s">
        <v>392</v>
      </c>
      <c r="E71" s="1">
        <v>49311</v>
      </c>
      <c r="F71" s="1">
        <v>144995</v>
      </c>
      <c r="G71" s="1">
        <f t="shared" si="7"/>
        <v>194306</v>
      </c>
      <c r="H71" s="1">
        <v>81882</v>
      </c>
      <c r="I71" s="1">
        <v>5</v>
      </c>
      <c r="J71" s="1">
        <v>60</v>
      </c>
      <c r="K71" s="1">
        <f t="shared" si="13"/>
        <v>4912920</v>
      </c>
      <c r="L71" s="1">
        <v>38</v>
      </c>
      <c r="M71" s="1">
        <f t="shared" si="11"/>
        <v>1801404</v>
      </c>
      <c r="N71" s="1">
        <f t="shared" si="12"/>
        <v>1607098</v>
      </c>
      <c r="O71" s="4">
        <f t="shared" si="8"/>
        <v>0.89213635586464779</v>
      </c>
      <c r="P71" s="4">
        <f t="shared" si="9"/>
        <v>172.72727272727272</v>
      </c>
      <c r="Q71" s="4">
        <f t="shared" si="10"/>
        <v>1.0177246932577775E-4</v>
      </c>
    </row>
    <row r="72" spans="1:17">
      <c r="A72" s="1" t="s">
        <v>94</v>
      </c>
      <c r="B72" s="1" t="s">
        <v>26</v>
      </c>
      <c r="C72" s="1" t="s">
        <v>29</v>
      </c>
      <c r="D72" s="1" t="s">
        <v>391</v>
      </c>
      <c r="E72" s="1">
        <v>10761</v>
      </c>
      <c r="F72" s="1">
        <v>144056</v>
      </c>
      <c r="G72" s="1">
        <f t="shared" si="7"/>
        <v>154817</v>
      </c>
      <c r="H72" s="1">
        <v>17813</v>
      </c>
      <c r="I72" s="1">
        <v>5</v>
      </c>
      <c r="J72" s="1">
        <v>48</v>
      </c>
      <c r="K72" s="1">
        <f t="shared" si="13"/>
        <v>855024</v>
      </c>
      <c r="L72" s="1">
        <v>13</v>
      </c>
      <c r="M72" s="1">
        <f t="shared" si="11"/>
        <v>623455</v>
      </c>
      <c r="N72" s="1">
        <f t="shared" si="12"/>
        <v>468638</v>
      </c>
      <c r="O72" s="4">
        <f t="shared" si="8"/>
        <v>0.75167895036530308</v>
      </c>
      <c r="P72" s="4">
        <f t="shared" si="9"/>
        <v>37.142857142857146</v>
      </c>
      <c r="Q72" s="4">
        <f t="shared" si="10"/>
        <v>5.8477890679092045E-4</v>
      </c>
    </row>
    <row r="73" spans="1:17">
      <c r="A73" s="1" t="s">
        <v>95</v>
      </c>
      <c r="B73" s="1" t="s">
        <v>20</v>
      </c>
      <c r="C73" s="1" t="s">
        <v>15</v>
      </c>
      <c r="D73" s="1" t="s">
        <v>393</v>
      </c>
      <c r="E73" s="1">
        <v>39768</v>
      </c>
      <c r="F73" s="1">
        <v>362020</v>
      </c>
      <c r="G73" s="1">
        <f t="shared" si="7"/>
        <v>401788</v>
      </c>
      <c r="H73" s="1">
        <v>34855</v>
      </c>
      <c r="I73" s="1">
        <v>5</v>
      </c>
      <c r="J73" s="1">
        <v>93</v>
      </c>
      <c r="K73" s="1">
        <f t="shared" si="13"/>
        <v>3241515</v>
      </c>
      <c r="L73" s="1">
        <v>16</v>
      </c>
      <c r="M73" s="1">
        <f t="shared" si="11"/>
        <v>2683835</v>
      </c>
      <c r="N73" s="1">
        <f t="shared" si="12"/>
        <v>2282047</v>
      </c>
      <c r="O73" s="4">
        <f t="shared" si="8"/>
        <v>0.85029333025316389</v>
      </c>
      <c r="P73" s="4">
        <f t="shared" si="9"/>
        <v>20.779220779220779</v>
      </c>
      <c r="Q73" s="4">
        <f t="shared" si="10"/>
        <v>1.5424886202902038E-4</v>
      </c>
    </row>
    <row r="74" spans="1:17">
      <c r="A74" s="1" t="s">
        <v>96</v>
      </c>
      <c r="B74" s="1" t="s">
        <v>17</v>
      </c>
      <c r="C74" s="1" t="s">
        <v>18</v>
      </c>
      <c r="D74" s="1" t="s">
        <v>392</v>
      </c>
      <c r="E74" s="1">
        <v>34474</v>
      </c>
      <c r="F74" s="1">
        <v>289445</v>
      </c>
      <c r="G74" s="1">
        <f t="shared" si="7"/>
        <v>323919</v>
      </c>
      <c r="H74" s="1">
        <v>55323</v>
      </c>
      <c r="I74" s="1">
        <v>15</v>
      </c>
      <c r="J74" s="1">
        <v>83</v>
      </c>
      <c r="K74" s="1">
        <f t="shared" si="13"/>
        <v>4591809</v>
      </c>
      <c r="L74" s="1">
        <v>3</v>
      </c>
      <c r="M74" s="1">
        <f t="shared" si="11"/>
        <v>4425840</v>
      </c>
      <c r="N74" s="1">
        <f t="shared" si="12"/>
        <v>4101921</v>
      </c>
      <c r="O74" s="4">
        <f t="shared" si="8"/>
        <v>0.92681185944363109</v>
      </c>
      <c r="P74" s="4">
        <f t="shared" si="9"/>
        <v>3.75</v>
      </c>
      <c r="Q74" s="4">
        <f t="shared" si="10"/>
        <v>3.2666863974525071E-4</v>
      </c>
    </row>
    <row r="75" spans="1:17">
      <c r="A75" s="1" t="s">
        <v>97</v>
      </c>
      <c r="B75" s="1" t="s">
        <v>20</v>
      </c>
      <c r="C75" s="1" t="s">
        <v>18</v>
      </c>
      <c r="D75" s="1" t="s">
        <v>392</v>
      </c>
      <c r="E75" s="1">
        <v>44114</v>
      </c>
      <c r="F75" s="1">
        <v>192404</v>
      </c>
      <c r="G75" s="1">
        <f t="shared" si="7"/>
        <v>236518</v>
      </c>
      <c r="H75" s="1">
        <v>44635</v>
      </c>
      <c r="I75" s="1">
        <v>0</v>
      </c>
      <c r="J75" s="1">
        <v>71</v>
      </c>
      <c r="K75" s="1">
        <f t="shared" si="13"/>
        <v>3169085</v>
      </c>
      <c r="L75" s="1">
        <v>29</v>
      </c>
      <c r="M75" s="1">
        <f t="shared" si="11"/>
        <v>1874670</v>
      </c>
      <c r="N75" s="1">
        <f t="shared" si="12"/>
        <v>1638152</v>
      </c>
      <c r="O75" s="4">
        <f t="shared" si="8"/>
        <v>0.87383486160230872</v>
      </c>
      <c r="P75" s="4">
        <f t="shared" si="9"/>
        <v>69.047619047619051</v>
      </c>
      <c r="Q75" s="4">
        <f t="shared" si="10"/>
        <v>0</v>
      </c>
    </row>
    <row r="76" spans="1:17">
      <c r="A76" s="1" t="s">
        <v>98</v>
      </c>
      <c r="B76" s="1" t="s">
        <v>26</v>
      </c>
      <c r="C76" s="1" t="s">
        <v>21</v>
      </c>
      <c r="D76" s="1" t="s">
        <v>391</v>
      </c>
      <c r="E76" s="1">
        <v>25095</v>
      </c>
      <c r="F76" s="1">
        <v>173759</v>
      </c>
      <c r="G76" s="1">
        <f t="shared" si="7"/>
        <v>198854</v>
      </c>
      <c r="H76" s="1">
        <v>50779</v>
      </c>
      <c r="I76" s="1">
        <v>20</v>
      </c>
      <c r="J76" s="1">
        <v>30</v>
      </c>
      <c r="K76" s="1">
        <f t="shared" si="13"/>
        <v>1523370</v>
      </c>
      <c r="L76" s="1">
        <v>35</v>
      </c>
      <c r="M76" s="1">
        <f t="shared" si="11"/>
        <v>-253895</v>
      </c>
      <c r="N76" s="1">
        <f t="shared" si="12"/>
        <v>-452749</v>
      </c>
      <c r="O76" s="4">
        <f t="shared" si="8"/>
        <v>-1.7832135331534689</v>
      </c>
      <c r="P76" s="4">
        <f t="shared" si="9"/>
        <v>-700</v>
      </c>
      <c r="Q76" s="4">
        <f t="shared" si="10"/>
        <v>1.3128786834452563E-3</v>
      </c>
    </row>
    <row r="77" spans="1:17">
      <c r="A77" s="1" t="s">
        <v>99</v>
      </c>
      <c r="B77" s="1" t="s">
        <v>14</v>
      </c>
      <c r="C77" s="1" t="s">
        <v>29</v>
      </c>
      <c r="D77" s="1" t="s">
        <v>391</v>
      </c>
      <c r="E77" s="1">
        <v>6395</v>
      </c>
      <c r="F77" s="1">
        <v>69148</v>
      </c>
      <c r="G77" s="1">
        <f t="shared" si="7"/>
        <v>75543</v>
      </c>
      <c r="H77" s="1">
        <v>15584</v>
      </c>
      <c r="I77" s="1">
        <v>5</v>
      </c>
      <c r="J77" s="1">
        <v>36</v>
      </c>
      <c r="K77" s="1">
        <f t="shared" si="13"/>
        <v>561024</v>
      </c>
      <c r="L77" s="1">
        <v>16</v>
      </c>
      <c r="M77" s="1">
        <f t="shared" si="11"/>
        <v>311680</v>
      </c>
      <c r="N77" s="1">
        <f t="shared" si="12"/>
        <v>236137</v>
      </c>
      <c r="O77" s="4">
        <f t="shared" si="8"/>
        <v>0.75762641170431211</v>
      </c>
      <c r="P77" s="4">
        <f t="shared" si="9"/>
        <v>80</v>
      </c>
      <c r="Q77" s="4">
        <f t="shared" si="10"/>
        <v>8.9122746976956426E-4</v>
      </c>
    </row>
    <row r="78" spans="1:17">
      <c r="A78" s="1" t="s">
        <v>100</v>
      </c>
      <c r="B78" s="1" t="s">
        <v>17</v>
      </c>
      <c r="C78" s="1" t="s">
        <v>15</v>
      </c>
      <c r="D78" s="1" t="s">
        <v>391</v>
      </c>
      <c r="E78" s="1">
        <v>36469</v>
      </c>
      <c r="F78" s="1">
        <v>110731</v>
      </c>
      <c r="G78" s="1">
        <f t="shared" si="7"/>
        <v>147200</v>
      </c>
      <c r="H78" s="1">
        <v>64083</v>
      </c>
      <c r="I78" s="1">
        <v>20</v>
      </c>
      <c r="J78" s="1">
        <v>30</v>
      </c>
      <c r="K78" s="1">
        <f t="shared" si="13"/>
        <v>1922490</v>
      </c>
      <c r="L78" s="1">
        <v>18</v>
      </c>
      <c r="M78" s="1">
        <f t="shared" si="11"/>
        <v>768996</v>
      </c>
      <c r="N78" s="1">
        <f t="shared" si="12"/>
        <v>621796</v>
      </c>
      <c r="O78" s="4">
        <f t="shared" si="8"/>
        <v>0.80858157909794071</v>
      </c>
      <c r="P78" s="4">
        <f t="shared" si="9"/>
        <v>150</v>
      </c>
      <c r="Q78" s="4">
        <f t="shared" si="10"/>
        <v>1.0403175049024964E-3</v>
      </c>
    </row>
    <row r="79" spans="1:17">
      <c r="A79" s="1" t="s">
        <v>101</v>
      </c>
      <c r="B79" s="1" t="s">
        <v>26</v>
      </c>
      <c r="C79" s="1" t="s">
        <v>15</v>
      </c>
      <c r="D79" s="1" t="s">
        <v>392</v>
      </c>
      <c r="E79" s="1">
        <v>36376</v>
      </c>
      <c r="F79" s="1">
        <v>273129</v>
      </c>
      <c r="G79" s="1">
        <f t="shared" si="7"/>
        <v>309505</v>
      </c>
      <c r="H79" s="1">
        <v>80834</v>
      </c>
      <c r="I79" s="1">
        <v>20</v>
      </c>
      <c r="J79" s="1">
        <v>27</v>
      </c>
      <c r="K79" s="1">
        <f t="shared" si="13"/>
        <v>2182518</v>
      </c>
      <c r="L79" s="1">
        <v>33</v>
      </c>
      <c r="M79" s="1">
        <f t="shared" si="11"/>
        <v>-485004</v>
      </c>
      <c r="N79" s="1">
        <f t="shared" si="12"/>
        <v>-794509</v>
      </c>
      <c r="O79" s="4">
        <f t="shared" si="8"/>
        <v>-1.6381493760876198</v>
      </c>
      <c r="P79" s="4">
        <f t="shared" si="9"/>
        <v>-550</v>
      </c>
      <c r="Q79" s="4">
        <f t="shared" si="10"/>
        <v>9.1637274011027627E-4</v>
      </c>
    </row>
    <row r="80" spans="1:17">
      <c r="A80" s="1" t="s">
        <v>102</v>
      </c>
      <c r="B80" s="1" t="s">
        <v>17</v>
      </c>
      <c r="C80" s="1" t="s">
        <v>18</v>
      </c>
      <c r="D80" s="1" t="s">
        <v>391</v>
      </c>
      <c r="E80" s="1">
        <v>47794</v>
      </c>
      <c r="F80" s="1">
        <v>161856</v>
      </c>
      <c r="G80" s="1">
        <f t="shared" si="7"/>
        <v>209650</v>
      </c>
      <c r="H80" s="1">
        <v>23186</v>
      </c>
      <c r="I80" s="1">
        <v>20</v>
      </c>
      <c r="J80" s="1">
        <v>74</v>
      </c>
      <c r="K80" s="1">
        <f t="shared" si="13"/>
        <v>1715764</v>
      </c>
      <c r="L80" s="1">
        <v>30</v>
      </c>
      <c r="M80" s="1">
        <f t="shared" si="11"/>
        <v>1020184</v>
      </c>
      <c r="N80" s="1">
        <f t="shared" si="12"/>
        <v>810534</v>
      </c>
      <c r="O80" s="4">
        <f t="shared" si="8"/>
        <v>0.79449785528884986</v>
      </c>
      <c r="P80" s="4">
        <f t="shared" si="9"/>
        <v>68.181818181818173</v>
      </c>
      <c r="Q80" s="4">
        <f t="shared" si="10"/>
        <v>1.1656614779188747E-3</v>
      </c>
    </row>
    <row r="81" spans="1:17">
      <c r="A81" s="1" t="s">
        <v>103</v>
      </c>
      <c r="B81" s="1" t="s">
        <v>14</v>
      </c>
      <c r="C81" s="1" t="s">
        <v>29</v>
      </c>
      <c r="D81" s="1" t="s">
        <v>392</v>
      </c>
      <c r="E81" s="1">
        <v>13915</v>
      </c>
      <c r="F81" s="1">
        <v>317316</v>
      </c>
      <c r="G81" s="1">
        <f t="shared" si="7"/>
        <v>331231</v>
      </c>
      <c r="H81" s="1">
        <v>40889</v>
      </c>
      <c r="I81" s="1">
        <v>10</v>
      </c>
      <c r="J81" s="1">
        <v>146</v>
      </c>
      <c r="K81" s="1">
        <f t="shared" si="13"/>
        <v>5969794</v>
      </c>
      <c r="L81" s="1">
        <v>7</v>
      </c>
      <c r="M81" s="1">
        <f t="shared" si="11"/>
        <v>5683571</v>
      </c>
      <c r="N81" s="1">
        <f t="shared" si="12"/>
        <v>5352340</v>
      </c>
      <c r="O81" s="4">
        <f t="shared" si="8"/>
        <v>0.94172132273882037</v>
      </c>
      <c r="P81" s="4">
        <f t="shared" si="9"/>
        <v>5.0359712230215825</v>
      </c>
      <c r="Q81" s="4">
        <f t="shared" si="10"/>
        <v>1.6750996768062683E-4</v>
      </c>
    </row>
    <row r="82" spans="1:17">
      <c r="A82" s="1" t="s">
        <v>104</v>
      </c>
      <c r="B82" s="1" t="s">
        <v>17</v>
      </c>
      <c r="C82" s="1" t="s">
        <v>15</v>
      </c>
      <c r="D82" s="1" t="s">
        <v>391</v>
      </c>
      <c r="E82" s="1">
        <v>13508</v>
      </c>
      <c r="F82" s="1">
        <v>386915</v>
      </c>
      <c r="G82" s="1">
        <f t="shared" si="7"/>
        <v>400423</v>
      </c>
      <c r="H82" s="1">
        <v>25469</v>
      </c>
      <c r="I82" s="1">
        <v>0</v>
      </c>
      <c r="J82" s="1">
        <v>16</v>
      </c>
      <c r="K82" s="1">
        <f t="shared" si="13"/>
        <v>407504</v>
      </c>
      <c r="L82" s="1">
        <v>27</v>
      </c>
      <c r="M82" s="1">
        <f t="shared" si="11"/>
        <v>-280159</v>
      </c>
      <c r="N82" s="1">
        <f t="shared" si="12"/>
        <v>-680582</v>
      </c>
      <c r="O82" s="4">
        <f t="shared" si="8"/>
        <v>-2.4292705213825005</v>
      </c>
      <c r="P82" s="4">
        <f t="shared" si="9"/>
        <v>-245.45454545454547</v>
      </c>
      <c r="Q82" s="4">
        <f t="shared" si="10"/>
        <v>0</v>
      </c>
    </row>
    <row r="83" spans="1:17">
      <c r="A83" s="1" t="s">
        <v>105</v>
      </c>
      <c r="B83" s="1" t="s">
        <v>20</v>
      </c>
      <c r="C83" s="1" t="s">
        <v>15</v>
      </c>
      <c r="D83" s="1" t="s">
        <v>391</v>
      </c>
      <c r="E83" s="1">
        <v>32871</v>
      </c>
      <c r="F83" s="1">
        <v>54581</v>
      </c>
      <c r="G83" s="1">
        <f t="shared" si="7"/>
        <v>87452</v>
      </c>
      <c r="H83" s="1">
        <v>11205</v>
      </c>
      <c r="I83" s="1">
        <v>15</v>
      </c>
      <c r="J83" s="1">
        <v>50</v>
      </c>
      <c r="K83" s="1">
        <f t="shared" si="13"/>
        <v>560250</v>
      </c>
      <c r="L83" s="1">
        <v>23</v>
      </c>
      <c r="M83" s="1">
        <f t="shared" si="11"/>
        <v>302535</v>
      </c>
      <c r="N83" s="1">
        <f t="shared" si="12"/>
        <v>215083</v>
      </c>
      <c r="O83" s="4">
        <f t="shared" si="8"/>
        <v>0.710935924769035</v>
      </c>
      <c r="P83" s="4">
        <f t="shared" si="9"/>
        <v>85.18518518518519</v>
      </c>
      <c r="Q83" s="4">
        <f t="shared" si="10"/>
        <v>2.6773761713520749E-3</v>
      </c>
    </row>
    <row r="84" spans="1:17">
      <c r="A84" s="1" t="s">
        <v>106</v>
      </c>
      <c r="B84" s="1" t="s">
        <v>26</v>
      </c>
      <c r="C84" s="1" t="s">
        <v>15</v>
      </c>
      <c r="D84" s="1" t="s">
        <v>392</v>
      </c>
      <c r="E84" s="1">
        <v>34397</v>
      </c>
      <c r="F84" s="1">
        <v>190596</v>
      </c>
      <c r="G84" s="1">
        <f t="shared" si="7"/>
        <v>224993</v>
      </c>
      <c r="H84" s="1">
        <v>39610</v>
      </c>
      <c r="I84" s="1">
        <v>0</v>
      </c>
      <c r="J84" s="1">
        <v>116</v>
      </c>
      <c r="K84" s="1">
        <f t="shared" si="13"/>
        <v>4594760</v>
      </c>
      <c r="L84" s="1">
        <v>11</v>
      </c>
      <c r="M84" s="1">
        <f t="shared" si="11"/>
        <v>4159050</v>
      </c>
      <c r="N84" s="1">
        <f t="shared" si="12"/>
        <v>3934057</v>
      </c>
      <c r="O84" s="4">
        <f t="shared" si="8"/>
        <v>0.94590279030066959</v>
      </c>
      <c r="P84" s="4">
        <f t="shared" si="9"/>
        <v>10.476190476190476</v>
      </c>
      <c r="Q84" s="4">
        <f t="shared" si="10"/>
        <v>0</v>
      </c>
    </row>
    <row r="85" spans="1:17">
      <c r="A85" s="1" t="s">
        <v>107</v>
      </c>
      <c r="B85" s="1" t="s">
        <v>17</v>
      </c>
      <c r="C85" s="1" t="s">
        <v>18</v>
      </c>
      <c r="D85" s="1" t="s">
        <v>392</v>
      </c>
      <c r="E85" s="1">
        <v>17699</v>
      </c>
      <c r="F85" s="1">
        <v>175186</v>
      </c>
      <c r="G85" s="1">
        <f t="shared" si="7"/>
        <v>192885</v>
      </c>
      <c r="H85" s="1">
        <v>23666</v>
      </c>
      <c r="I85" s="1">
        <v>20</v>
      </c>
      <c r="J85" s="1">
        <v>113</v>
      </c>
      <c r="K85" s="1">
        <f t="shared" si="13"/>
        <v>2674258</v>
      </c>
      <c r="L85" s="1">
        <v>39</v>
      </c>
      <c r="M85" s="1">
        <f t="shared" si="11"/>
        <v>1751284</v>
      </c>
      <c r="N85" s="1">
        <f t="shared" si="12"/>
        <v>1558399</v>
      </c>
      <c r="O85" s="4">
        <f t="shared" si="8"/>
        <v>0.88986081069660894</v>
      </c>
      <c r="P85" s="4">
        <f t="shared" si="9"/>
        <v>52.702702702702695</v>
      </c>
      <c r="Q85" s="4">
        <f t="shared" si="10"/>
        <v>7.4787099823577234E-4</v>
      </c>
    </row>
    <row r="86" spans="1:17">
      <c r="A86" s="1" t="s">
        <v>108</v>
      </c>
      <c r="B86" s="1" t="s">
        <v>26</v>
      </c>
      <c r="C86" s="1" t="s">
        <v>18</v>
      </c>
      <c r="D86" s="1" t="s">
        <v>392</v>
      </c>
      <c r="E86" s="1">
        <v>23518</v>
      </c>
      <c r="F86" s="1">
        <v>374606</v>
      </c>
      <c r="G86" s="1">
        <f t="shared" si="7"/>
        <v>398124</v>
      </c>
      <c r="H86" s="1">
        <v>46131</v>
      </c>
      <c r="I86" s="1">
        <v>15</v>
      </c>
      <c r="J86" s="1">
        <v>101</v>
      </c>
      <c r="K86" s="1">
        <f t="shared" si="13"/>
        <v>4659231</v>
      </c>
      <c r="L86" s="1">
        <v>0</v>
      </c>
      <c r="M86" s="1">
        <f t="shared" si="11"/>
        <v>4659231</v>
      </c>
      <c r="N86" s="1">
        <f t="shared" si="12"/>
        <v>4261107</v>
      </c>
      <c r="O86" s="4">
        <f t="shared" si="8"/>
        <v>0.91455156441052177</v>
      </c>
      <c r="P86" s="4">
        <f t="shared" si="9"/>
        <v>0</v>
      </c>
      <c r="Q86" s="4">
        <f t="shared" si="10"/>
        <v>3.2194153927976528E-4</v>
      </c>
    </row>
    <row r="87" spans="1:17">
      <c r="A87" s="1" t="s">
        <v>109</v>
      </c>
      <c r="B87" s="1" t="s">
        <v>20</v>
      </c>
      <c r="C87" s="1" t="s">
        <v>29</v>
      </c>
      <c r="D87" s="1" t="s">
        <v>391</v>
      </c>
      <c r="E87" s="1">
        <v>13373</v>
      </c>
      <c r="F87" s="1">
        <v>303229</v>
      </c>
      <c r="G87" s="1">
        <f t="shared" si="7"/>
        <v>316602</v>
      </c>
      <c r="H87" s="1">
        <v>42525</v>
      </c>
      <c r="I87" s="1">
        <v>0.15</v>
      </c>
      <c r="J87" s="1">
        <v>31</v>
      </c>
      <c r="K87" s="1">
        <f t="shared" si="13"/>
        <v>1318275</v>
      </c>
      <c r="L87" s="1">
        <v>6</v>
      </c>
      <c r="M87" s="1">
        <f t="shared" si="11"/>
        <v>1063125</v>
      </c>
      <c r="N87" s="1">
        <f t="shared" si="12"/>
        <v>746523</v>
      </c>
      <c r="O87" s="4">
        <f t="shared" si="8"/>
        <v>0.70219682539682537</v>
      </c>
      <c r="P87" s="4">
        <f t="shared" si="9"/>
        <v>24</v>
      </c>
      <c r="Q87" s="4">
        <f t="shared" si="10"/>
        <v>1.1378506002161915E-5</v>
      </c>
    </row>
    <row r="88" spans="1:17">
      <c r="A88" s="1" t="s">
        <v>110</v>
      </c>
      <c r="B88" s="1" t="s">
        <v>20</v>
      </c>
      <c r="C88" s="1" t="s">
        <v>15</v>
      </c>
      <c r="D88" s="1" t="s">
        <v>391</v>
      </c>
      <c r="E88" s="1">
        <v>49441</v>
      </c>
      <c r="F88" s="1">
        <v>325159</v>
      </c>
      <c r="G88" s="1">
        <f t="shared" si="7"/>
        <v>374600</v>
      </c>
      <c r="H88" s="1">
        <v>73168</v>
      </c>
      <c r="I88" s="1">
        <v>20</v>
      </c>
      <c r="J88" s="1">
        <v>5</v>
      </c>
      <c r="K88" s="1">
        <f t="shared" si="13"/>
        <v>365840</v>
      </c>
      <c r="L88" s="1">
        <v>7</v>
      </c>
      <c r="M88" s="1">
        <f t="shared" si="11"/>
        <v>-146336</v>
      </c>
      <c r="N88" s="1">
        <f t="shared" si="12"/>
        <v>-520936</v>
      </c>
      <c r="O88" s="4">
        <f t="shared" si="8"/>
        <v>-3.5598622348567681</v>
      </c>
      <c r="P88" s="4">
        <f t="shared" si="9"/>
        <v>-350</v>
      </c>
      <c r="Q88" s="4">
        <f t="shared" si="10"/>
        <v>5.4668707631751589E-3</v>
      </c>
    </row>
    <row r="89" spans="1:17">
      <c r="A89" s="1" t="s">
        <v>111</v>
      </c>
      <c r="B89" s="1" t="s">
        <v>26</v>
      </c>
      <c r="C89" s="1" t="s">
        <v>18</v>
      </c>
      <c r="D89" s="1" t="s">
        <v>391</v>
      </c>
      <c r="E89" s="1">
        <v>49684</v>
      </c>
      <c r="F89" s="1">
        <v>76036</v>
      </c>
      <c r="G89" s="1">
        <f t="shared" si="7"/>
        <v>125720</v>
      </c>
      <c r="H89" s="1">
        <v>55364</v>
      </c>
      <c r="I89" s="1">
        <v>15</v>
      </c>
      <c r="J89" s="1">
        <v>150</v>
      </c>
      <c r="K89" s="1">
        <f t="shared" si="13"/>
        <v>8304600</v>
      </c>
      <c r="L89" s="1">
        <v>30</v>
      </c>
      <c r="M89" s="1">
        <f t="shared" si="11"/>
        <v>6643680</v>
      </c>
      <c r="N89" s="1">
        <f t="shared" si="12"/>
        <v>6517960</v>
      </c>
      <c r="O89" s="4">
        <f t="shared" si="8"/>
        <v>0.98107675264311345</v>
      </c>
      <c r="P89" s="4">
        <f t="shared" si="9"/>
        <v>25</v>
      </c>
      <c r="Q89" s="4">
        <f t="shared" si="10"/>
        <v>1.8062278737085471E-4</v>
      </c>
    </row>
    <row r="90" spans="1:17">
      <c r="A90" s="1" t="s">
        <v>112</v>
      </c>
      <c r="B90" s="1" t="s">
        <v>14</v>
      </c>
      <c r="C90" s="1" t="s">
        <v>21</v>
      </c>
      <c r="D90" s="1" t="s">
        <v>391</v>
      </c>
      <c r="E90" s="1">
        <v>32301</v>
      </c>
      <c r="F90" s="1">
        <v>78773</v>
      </c>
      <c r="G90" s="1">
        <f t="shared" si="7"/>
        <v>111074</v>
      </c>
      <c r="H90" s="1">
        <v>62916</v>
      </c>
      <c r="I90" s="1">
        <v>5</v>
      </c>
      <c r="J90" s="1">
        <v>58</v>
      </c>
      <c r="K90" s="1">
        <f t="shared" si="13"/>
        <v>3649128</v>
      </c>
      <c r="L90" s="1">
        <v>13</v>
      </c>
      <c r="M90" s="1">
        <f t="shared" si="11"/>
        <v>2831220</v>
      </c>
      <c r="N90" s="1">
        <f t="shared" si="12"/>
        <v>2720146</v>
      </c>
      <c r="O90" s="4">
        <f t="shared" si="8"/>
        <v>0.9607681494196848</v>
      </c>
      <c r="P90" s="4">
        <f t="shared" si="9"/>
        <v>28.888888888888886</v>
      </c>
      <c r="Q90" s="4">
        <f t="shared" si="10"/>
        <v>1.3701903578060292E-4</v>
      </c>
    </row>
    <row r="91" spans="1:17">
      <c r="A91" s="1" t="s">
        <v>113</v>
      </c>
      <c r="B91" s="1" t="s">
        <v>14</v>
      </c>
      <c r="C91" s="1" t="s">
        <v>21</v>
      </c>
      <c r="D91" s="1" t="s">
        <v>391</v>
      </c>
      <c r="E91" s="1">
        <v>47663</v>
      </c>
      <c r="F91" s="1">
        <v>288819</v>
      </c>
      <c r="G91" s="1">
        <f t="shared" si="7"/>
        <v>336482</v>
      </c>
      <c r="H91" s="1">
        <v>81865</v>
      </c>
      <c r="I91" s="1">
        <v>20</v>
      </c>
      <c r="J91" s="1">
        <v>15</v>
      </c>
      <c r="K91" s="1">
        <f t="shared" si="13"/>
        <v>1227975</v>
      </c>
      <c r="L91" s="1">
        <v>37</v>
      </c>
      <c r="M91" s="1">
        <f t="shared" si="11"/>
        <v>-1801030</v>
      </c>
      <c r="N91" s="1">
        <f t="shared" si="12"/>
        <v>-2137512</v>
      </c>
      <c r="O91" s="4">
        <f t="shared" si="8"/>
        <v>-1.1868275375757205</v>
      </c>
      <c r="P91" s="4">
        <f t="shared" si="9"/>
        <v>-168.18181818181819</v>
      </c>
      <c r="Q91" s="4">
        <f t="shared" si="10"/>
        <v>1.6286976526395083E-3</v>
      </c>
    </row>
    <row r="92" spans="1:17">
      <c r="A92" s="1" t="s">
        <v>22</v>
      </c>
      <c r="B92" s="1" t="s">
        <v>26</v>
      </c>
      <c r="C92" s="1" t="s">
        <v>29</v>
      </c>
      <c r="D92" s="1" t="s">
        <v>392</v>
      </c>
      <c r="E92" s="1">
        <v>31591</v>
      </c>
      <c r="F92" s="1">
        <v>359144</v>
      </c>
      <c r="G92" s="1">
        <f t="shared" si="7"/>
        <v>390735</v>
      </c>
      <c r="H92" s="1">
        <v>20199</v>
      </c>
      <c r="I92" s="1">
        <v>5</v>
      </c>
      <c r="J92" s="1">
        <v>3</v>
      </c>
      <c r="K92" s="1">
        <f t="shared" si="13"/>
        <v>60597</v>
      </c>
      <c r="L92" s="1">
        <v>18</v>
      </c>
      <c r="M92" s="1">
        <f t="shared" si="11"/>
        <v>-302985</v>
      </c>
      <c r="N92" s="1">
        <f t="shared" si="12"/>
        <v>-693720</v>
      </c>
      <c r="O92" s="4">
        <f t="shared" si="8"/>
        <v>-2.2896182979355415</v>
      </c>
      <c r="P92" s="4">
        <f t="shared" si="9"/>
        <v>-120</v>
      </c>
      <c r="Q92" s="4">
        <f t="shared" si="10"/>
        <v>8.2512335594171326E-3</v>
      </c>
    </row>
    <row r="93" spans="1:17">
      <c r="A93" s="1" t="s">
        <v>114</v>
      </c>
      <c r="B93" s="1" t="s">
        <v>17</v>
      </c>
      <c r="C93" s="1" t="s">
        <v>21</v>
      </c>
      <c r="D93" s="1" t="s">
        <v>393</v>
      </c>
      <c r="E93" s="1">
        <v>7684</v>
      </c>
      <c r="F93" s="1">
        <v>345136</v>
      </c>
      <c r="G93" s="1">
        <f t="shared" si="7"/>
        <v>352820</v>
      </c>
      <c r="H93" s="1">
        <v>74643</v>
      </c>
      <c r="I93" s="1">
        <v>0</v>
      </c>
      <c r="J93" s="1">
        <v>60</v>
      </c>
      <c r="K93" s="1">
        <f t="shared" si="13"/>
        <v>4478580</v>
      </c>
      <c r="L93" s="1">
        <v>6</v>
      </c>
      <c r="M93" s="1">
        <f t="shared" si="11"/>
        <v>4030722</v>
      </c>
      <c r="N93" s="1">
        <f t="shared" si="12"/>
        <v>3677902</v>
      </c>
      <c r="O93" s="4">
        <f t="shared" si="8"/>
        <v>0.91246729494120404</v>
      </c>
      <c r="P93" s="4">
        <f t="shared" si="9"/>
        <v>11.111111111111111</v>
      </c>
      <c r="Q93" s="4">
        <f t="shared" si="10"/>
        <v>0</v>
      </c>
    </row>
    <row r="94" spans="1:17">
      <c r="A94" s="1" t="s">
        <v>115</v>
      </c>
      <c r="B94" s="1" t="s">
        <v>17</v>
      </c>
      <c r="C94" s="1" t="s">
        <v>29</v>
      </c>
      <c r="D94" s="1" t="s">
        <v>392</v>
      </c>
      <c r="E94" s="1">
        <v>19760</v>
      </c>
      <c r="F94" s="1">
        <v>283448</v>
      </c>
      <c r="G94" s="1">
        <f t="shared" si="7"/>
        <v>303208</v>
      </c>
      <c r="H94" s="1">
        <v>28039</v>
      </c>
      <c r="I94" s="1">
        <v>10</v>
      </c>
      <c r="J94" s="1">
        <v>20</v>
      </c>
      <c r="K94" s="1">
        <f t="shared" si="13"/>
        <v>560780</v>
      </c>
      <c r="L94" s="1">
        <v>15</v>
      </c>
      <c r="M94" s="1">
        <f t="shared" si="11"/>
        <v>140195</v>
      </c>
      <c r="N94" s="1">
        <f t="shared" si="12"/>
        <v>-163013</v>
      </c>
      <c r="O94" s="4">
        <f t="shared" si="8"/>
        <v>-1.1627590142301794</v>
      </c>
      <c r="P94" s="4">
        <f t="shared" si="9"/>
        <v>300</v>
      </c>
      <c r="Q94" s="4">
        <f t="shared" si="10"/>
        <v>1.7832305003744782E-3</v>
      </c>
    </row>
    <row r="95" spans="1:17">
      <c r="A95" s="1" t="s">
        <v>116</v>
      </c>
      <c r="B95" s="1" t="s">
        <v>20</v>
      </c>
      <c r="C95" s="1" t="s">
        <v>38</v>
      </c>
      <c r="D95" s="1" t="s">
        <v>391</v>
      </c>
      <c r="E95" s="1">
        <v>26177</v>
      </c>
      <c r="F95" s="1">
        <v>289649</v>
      </c>
      <c r="G95" s="1">
        <f t="shared" si="7"/>
        <v>315826</v>
      </c>
      <c r="H95" s="1">
        <v>11889</v>
      </c>
      <c r="I95" s="1">
        <v>1</v>
      </c>
      <c r="J95" s="1">
        <v>52</v>
      </c>
      <c r="K95" s="1">
        <f t="shared" si="13"/>
        <v>618228</v>
      </c>
      <c r="L95" s="1">
        <v>21</v>
      </c>
      <c r="M95" s="1">
        <f t="shared" si="11"/>
        <v>368559</v>
      </c>
      <c r="N95" s="1">
        <f t="shared" si="12"/>
        <v>52733</v>
      </c>
      <c r="O95" s="4">
        <f t="shared" si="8"/>
        <v>0.14307885575986476</v>
      </c>
      <c r="P95" s="4">
        <f t="shared" si="9"/>
        <v>67.741935483870961</v>
      </c>
      <c r="Q95" s="4">
        <f t="shared" si="10"/>
        <v>1.6175262201000278E-4</v>
      </c>
    </row>
    <row r="96" spans="1:17">
      <c r="A96" s="1" t="s">
        <v>117</v>
      </c>
      <c r="B96" s="1" t="s">
        <v>14</v>
      </c>
      <c r="C96" s="1" t="s">
        <v>29</v>
      </c>
      <c r="D96" s="1" t="s">
        <v>392</v>
      </c>
      <c r="E96" s="1">
        <v>49037</v>
      </c>
      <c r="F96" s="1">
        <v>141247</v>
      </c>
      <c r="G96" s="1">
        <f t="shared" si="7"/>
        <v>190284</v>
      </c>
      <c r="H96" s="1">
        <v>44955</v>
      </c>
      <c r="I96" s="1">
        <v>15</v>
      </c>
      <c r="J96" s="1">
        <v>11</v>
      </c>
      <c r="K96" s="1">
        <f t="shared" si="13"/>
        <v>494505</v>
      </c>
      <c r="L96" s="1">
        <v>39</v>
      </c>
      <c r="M96" s="1">
        <f t="shared" si="11"/>
        <v>-1258740</v>
      </c>
      <c r="N96" s="1">
        <f t="shared" si="12"/>
        <v>-1449024</v>
      </c>
      <c r="O96" s="4">
        <f t="shared" si="8"/>
        <v>-1.1511702178368846</v>
      </c>
      <c r="P96" s="4">
        <f t="shared" si="9"/>
        <v>-139.28571428571428</v>
      </c>
      <c r="Q96" s="4">
        <f t="shared" si="10"/>
        <v>3.0333363666697E-3</v>
      </c>
    </row>
    <row r="97" spans="1:17">
      <c r="A97" s="1" t="s">
        <v>118</v>
      </c>
      <c r="B97" s="1" t="s">
        <v>26</v>
      </c>
      <c r="C97" s="1" t="s">
        <v>29</v>
      </c>
      <c r="D97" s="1" t="s">
        <v>391</v>
      </c>
      <c r="E97" s="1">
        <v>14544</v>
      </c>
      <c r="F97" s="1">
        <v>178628</v>
      </c>
      <c r="G97" s="1">
        <f t="shared" si="7"/>
        <v>193172</v>
      </c>
      <c r="H97" s="1">
        <v>66993</v>
      </c>
      <c r="I97" s="1">
        <v>10</v>
      </c>
      <c r="J97" s="1">
        <v>71</v>
      </c>
      <c r="K97" s="1">
        <f t="shared" si="13"/>
        <v>4756503</v>
      </c>
      <c r="L97" s="1">
        <v>14</v>
      </c>
      <c r="M97" s="1">
        <f t="shared" si="11"/>
        <v>3818601</v>
      </c>
      <c r="N97" s="1">
        <f t="shared" si="12"/>
        <v>3625429</v>
      </c>
      <c r="O97" s="4">
        <f t="shared" si="8"/>
        <v>0.94941288707565941</v>
      </c>
      <c r="P97" s="4">
        <f t="shared" si="9"/>
        <v>24.561403508771928</v>
      </c>
      <c r="Q97" s="4">
        <f t="shared" si="10"/>
        <v>2.1023848823389788E-4</v>
      </c>
    </row>
    <row r="98" spans="1:17">
      <c r="A98" s="1" t="s">
        <v>119</v>
      </c>
      <c r="B98" s="1" t="s">
        <v>26</v>
      </c>
      <c r="C98" s="1" t="s">
        <v>21</v>
      </c>
      <c r="D98" s="1" t="s">
        <v>392</v>
      </c>
      <c r="E98" s="1">
        <v>9504</v>
      </c>
      <c r="F98" s="1">
        <v>327612</v>
      </c>
      <c r="G98" s="1">
        <f t="shared" si="7"/>
        <v>337116</v>
      </c>
      <c r="H98" s="1">
        <v>14170</v>
      </c>
      <c r="I98" s="1">
        <v>10</v>
      </c>
      <c r="J98" s="1">
        <v>67</v>
      </c>
      <c r="K98" s="1">
        <f t="shared" si="13"/>
        <v>949390</v>
      </c>
      <c r="L98" s="1">
        <v>25</v>
      </c>
      <c r="M98" s="1">
        <f t="shared" si="11"/>
        <v>595140</v>
      </c>
      <c r="N98" s="1">
        <f t="shared" si="12"/>
        <v>258024</v>
      </c>
      <c r="O98" s="4">
        <f t="shared" si="8"/>
        <v>0.43355176933158585</v>
      </c>
      <c r="P98" s="4">
        <f t="shared" si="9"/>
        <v>59.523809523809526</v>
      </c>
      <c r="Q98" s="4">
        <f t="shared" si="10"/>
        <v>1.0533079135023541E-3</v>
      </c>
    </row>
    <row r="99" spans="1:17">
      <c r="A99" s="1" t="s">
        <v>120</v>
      </c>
      <c r="B99" s="1" t="s">
        <v>14</v>
      </c>
      <c r="C99" s="1" t="s">
        <v>18</v>
      </c>
      <c r="D99" s="1" t="s">
        <v>392</v>
      </c>
      <c r="E99" s="1">
        <v>37457</v>
      </c>
      <c r="F99" s="1">
        <v>179544</v>
      </c>
      <c r="G99" s="1">
        <f t="shared" si="7"/>
        <v>217001</v>
      </c>
      <c r="H99" s="1">
        <v>73331</v>
      </c>
      <c r="I99" s="1">
        <v>20</v>
      </c>
      <c r="J99" s="1">
        <v>136</v>
      </c>
      <c r="K99" s="1">
        <f t="shared" si="13"/>
        <v>9973016</v>
      </c>
      <c r="L99" s="1">
        <v>24</v>
      </c>
      <c r="M99" s="1">
        <f t="shared" si="11"/>
        <v>8213072</v>
      </c>
      <c r="N99" s="1">
        <f t="shared" si="12"/>
        <v>7996071</v>
      </c>
      <c r="O99" s="4">
        <f t="shared" si="8"/>
        <v>0.97357858301984934</v>
      </c>
      <c r="P99" s="4">
        <f t="shared" si="9"/>
        <v>21.428571428571427</v>
      </c>
      <c r="Q99" s="4">
        <f t="shared" si="10"/>
        <v>2.0054114021275009E-4</v>
      </c>
    </row>
    <row r="100" spans="1:17">
      <c r="A100" s="1" t="s">
        <v>121</v>
      </c>
      <c r="B100" s="1" t="s">
        <v>14</v>
      </c>
      <c r="C100" s="1" t="s">
        <v>122</v>
      </c>
      <c r="D100" s="1" t="s">
        <v>392</v>
      </c>
      <c r="E100" s="1">
        <v>46243</v>
      </c>
      <c r="F100" s="1">
        <v>141644</v>
      </c>
      <c r="G100" s="1">
        <f t="shared" si="7"/>
        <v>187887</v>
      </c>
      <c r="H100" s="1">
        <v>73611</v>
      </c>
      <c r="I100" s="1">
        <v>15</v>
      </c>
      <c r="J100" s="1">
        <v>30</v>
      </c>
      <c r="K100" s="1">
        <f t="shared" si="13"/>
        <v>2208330</v>
      </c>
      <c r="L100" s="1">
        <v>19</v>
      </c>
      <c r="M100" s="1">
        <f t="shared" si="11"/>
        <v>809721</v>
      </c>
      <c r="N100" s="1">
        <f t="shared" si="12"/>
        <v>621834</v>
      </c>
      <c r="O100" s="4">
        <f t="shared" si="8"/>
        <v>0.7679608161329643</v>
      </c>
      <c r="P100" s="4">
        <f t="shared" si="9"/>
        <v>172.72727272727272</v>
      </c>
      <c r="Q100" s="4">
        <f t="shared" si="10"/>
        <v>6.7924630829631436E-4</v>
      </c>
    </row>
    <row r="101" spans="1:17">
      <c r="A101" s="1" t="s">
        <v>123</v>
      </c>
      <c r="B101" s="1" t="s">
        <v>14</v>
      </c>
      <c r="C101" s="1" t="s">
        <v>21</v>
      </c>
      <c r="D101" s="1" t="s">
        <v>392</v>
      </c>
      <c r="E101" s="1">
        <v>31753</v>
      </c>
      <c r="F101" s="1">
        <v>347905</v>
      </c>
      <c r="G101" s="1">
        <f t="shared" si="7"/>
        <v>379658</v>
      </c>
      <c r="H101" s="1">
        <v>55235</v>
      </c>
      <c r="I101" s="1">
        <v>10</v>
      </c>
      <c r="J101" s="1">
        <v>133</v>
      </c>
      <c r="K101" s="1">
        <f t="shared" si="13"/>
        <v>7346255</v>
      </c>
      <c r="L101" s="1">
        <v>2</v>
      </c>
      <c r="M101" s="1">
        <f t="shared" si="11"/>
        <v>7235785</v>
      </c>
      <c r="N101" s="1">
        <f t="shared" si="12"/>
        <v>6856127</v>
      </c>
      <c r="O101" s="4">
        <f t="shared" si="8"/>
        <v>0.9475305029101887</v>
      </c>
      <c r="P101" s="4">
        <f t="shared" si="9"/>
        <v>1.5267175572519083</v>
      </c>
      <c r="Q101" s="4">
        <f t="shared" si="10"/>
        <v>1.3612378007569844E-4</v>
      </c>
    </row>
    <row r="102" spans="1:17">
      <c r="A102" s="1" t="s">
        <v>124</v>
      </c>
      <c r="B102" s="1" t="s">
        <v>14</v>
      </c>
      <c r="C102" s="1" t="s">
        <v>29</v>
      </c>
      <c r="D102" s="1" t="s">
        <v>394</v>
      </c>
      <c r="E102" s="1">
        <v>22373</v>
      </c>
      <c r="F102" s="1">
        <v>279851</v>
      </c>
      <c r="G102" s="1">
        <f t="shared" si="7"/>
        <v>302224</v>
      </c>
      <c r="H102" s="1">
        <v>67565</v>
      </c>
      <c r="I102" s="1">
        <v>15</v>
      </c>
      <c r="J102" s="1">
        <v>133</v>
      </c>
      <c r="K102" s="1">
        <f t="shared" si="13"/>
        <v>8986145</v>
      </c>
      <c r="L102" s="1">
        <v>24</v>
      </c>
      <c r="M102" s="1">
        <f t="shared" si="11"/>
        <v>7364585</v>
      </c>
      <c r="N102" s="1">
        <f t="shared" si="12"/>
        <v>7062361</v>
      </c>
      <c r="O102" s="4">
        <f t="shared" si="8"/>
        <v>0.95896252130975468</v>
      </c>
      <c r="P102" s="4">
        <f t="shared" si="9"/>
        <v>22.018348623853214</v>
      </c>
      <c r="Q102" s="4">
        <f t="shared" si="10"/>
        <v>1.6692363633126329E-4</v>
      </c>
    </row>
    <row r="103" spans="1:17">
      <c r="A103" s="1" t="s">
        <v>125</v>
      </c>
      <c r="B103" s="1" t="s">
        <v>17</v>
      </c>
      <c r="C103" s="1" t="s">
        <v>15</v>
      </c>
      <c r="D103" s="1" t="s">
        <v>391</v>
      </c>
      <c r="E103" s="1">
        <v>34953</v>
      </c>
      <c r="F103" s="1">
        <v>340858</v>
      </c>
      <c r="G103" s="1">
        <f t="shared" si="7"/>
        <v>375811</v>
      </c>
      <c r="H103" s="1">
        <v>25922</v>
      </c>
      <c r="I103" s="1">
        <v>0</v>
      </c>
      <c r="J103" s="1">
        <v>46</v>
      </c>
      <c r="K103" s="1">
        <f t="shared" si="13"/>
        <v>1192412</v>
      </c>
      <c r="L103" s="1">
        <v>24</v>
      </c>
      <c r="M103" s="1">
        <f t="shared" si="11"/>
        <v>570284</v>
      </c>
      <c r="N103" s="1">
        <f t="shared" si="12"/>
        <v>194473</v>
      </c>
      <c r="O103" s="4">
        <f t="shared" si="8"/>
        <v>0.34101079462162714</v>
      </c>
      <c r="P103" s="4">
        <f t="shared" si="9"/>
        <v>109.09090909090908</v>
      </c>
      <c r="Q103" s="4">
        <f t="shared" si="10"/>
        <v>0</v>
      </c>
    </row>
    <row r="104" spans="1:17">
      <c r="A104" s="1" t="s">
        <v>126</v>
      </c>
      <c r="B104" s="1" t="s">
        <v>20</v>
      </c>
      <c r="C104" s="1" t="s">
        <v>15</v>
      </c>
      <c r="D104" s="1" t="s">
        <v>391</v>
      </c>
      <c r="E104" s="1">
        <v>21036</v>
      </c>
      <c r="F104" s="1">
        <v>379177</v>
      </c>
      <c r="G104" s="1">
        <f t="shared" si="7"/>
        <v>400213</v>
      </c>
      <c r="H104" s="1">
        <v>25514</v>
      </c>
      <c r="I104" s="1">
        <v>20</v>
      </c>
      <c r="J104" s="1">
        <v>75</v>
      </c>
      <c r="K104" s="1">
        <f t="shared" si="13"/>
        <v>1913550</v>
      </c>
      <c r="L104" s="1">
        <v>32</v>
      </c>
      <c r="M104" s="1">
        <f t="shared" si="11"/>
        <v>1097102</v>
      </c>
      <c r="N104" s="1">
        <f t="shared" si="12"/>
        <v>696889</v>
      </c>
      <c r="O104" s="4">
        <f t="shared" si="8"/>
        <v>0.63520894137463968</v>
      </c>
      <c r="P104" s="4">
        <f t="shared" si="9"/>
        <v>74.418604651162795</v>
      </c>
      <c r="Q104" s="4">
        <f t="shared" si="10"/>
        <v>1.0451778108750752E-3</v>
      </c>
    </row>
    <row r="105" spans="1:17">
      <c r="A105" s="1" t="s">
        <v>127</v>
      </c>
      <c r="B105" s="1" t="s">
        <v>26</v>
      </c>
      <c r="C105" s="1" t="s">
        <v>18</v>
      </c>
      <c r="D105" s="1" t="s">
        <v>391</v>
      </c>
      <c r="E105" s="1">
        <v>5238</v>
      </c>
      <c r="F105" s="1">
        <v>173715</v>
      </c>
      <c r="G105" s="1">
        <f t="shared" si="7"/>
        <v>178953</v>
      </c>
      <c r="H105" s="1">
        <v>48261</v>
      </c>
      <c r="I105" s="1">
        <v>20</v>
      </c>
      <c r="J105" s="1">
        <v>97</v>
      </c>
      <c r="K105" s="1">
        <f t="shared" si="13"/>
        <v>4681317</v>
      </c>
      <c r="L105" s="1">
        <v>21</v>
      </c>
      <c r="M105" s="1">
        <f t="shared" si="11"/>
        <v>3667836</v>
      </c>
      <c r="N105" s="1">
        <f t="shared" si="12"/>
        <v>3488883</v>
      </c>
      <c r="O105" s="4">
        <f t="shared" si="8"/>
        <v>0.95121019587571531</v>
      </c>
      <c r="P105" s="4">
        <f t="shared" si="9"/>
        <v>27.631578947368425</v>
      </c>
      <c r="Q105" s="4">
        <f t="shared" si="10"/>
        <v>4.2723020039018932E-4</v>
      </c>
    </row>
    <row r="106" spans="1:17">
      <c r="A106" s="1" t="s">
        <v>128</v>
      </c>
      <c r="B106" s="1" t="s">
        <v>20</v>
      </c>
      <c r="C106" s="1" t="s">
        <v>29</v>
      </c>
      <c r="D106" s="1" t="s">
        <v>392</v>
      </c>
      <c r="E106" s="1">
        <v>37700</v>
      </c>
      <c r="F106" s="1">
        <v>124926</v>
      </c>
      <c r="G106" s="1">
        <f t="shared" si="7"/>
        <v>162626</v>
      </c>
      <c r="H106" s="1">
        <v>76749</v>
      </c>
      <c r="I106" s="1">
        <v>0</v>
      </c>
      <c r="J106" s="1">
        <v>29</v>
      </c>
      <c r="K106" s="1">
        <f t="shared" si="13"/>
        <v>2225721</v>
      </c>
      <c r="L106" s="1">
        <v>35</v>
      </c>
      <c r="M106" s="1">
        <f t="shared" si="11"/>
        <v>-460494</v>
      </c>
      <c r="N106" s="1">
        <f t="shared" si="12"/>
        <v>-623120</v>
      </c>
      <c r="O106" s="4">
        <f t="shared" si="8"/>
        <v>-1.3531555242847899</v>
      </c>
      <c r="P106" s="4">
        <f t="shared" si="9"/>
        <v>-583.33333333333326</v>
      </c>
      <c r="Q106" s="4">
        <f t="shared" si="10"/>
        <v>0</v>
      </c>
    </row>
    <row r="107" spans="1:17">
      <c r="A107" s="1" t="s">
        <v>129</v>
      </c>
      <c r="B107" s="1" t="s">
        <v>20</v>
      </c>
      <c r="C107" s="1" t="s">
        <v>29</v>
      </c>
      <c r="D107" s="1" t="s">
        <v>392</v>
      </c>
      <c r="E107" s="1">
        <v>43514</v>
      </c>
      <c r="F107" s="1">
        <v>103583</v>
      </c>
      <c r="G107" s="1">
        <f t="shared" si="7"/>
        <v>147097</v>
      </c>
      <c r="H107" s="1">
        <v>54055</v>
      </c>
      <c r="I107" s="1">
        <v>15</v>
      </c>
      <c r="J107" s="1">
        <v>105</v>
      </c>
      <c r="K107" s="1">
        <f t="shared" si="13"/>
        <v>5675775</v>
      </c>
      <c r="L107" s="1">
        <v>1</v>
      </c>
      <c r="M107" s="1">
        <f t="shared" si="11"/>
        <v>5621720</v>
      </c>
      <c r="N107" s="1">
        <f t="shared" si="12"/>
        <v>5474623</v>
      </c>
      <c r="O107" s="4">
        <f t="shared" si="8"/>
        <v>0.97383416463288819</v>
      </c>
      <c r="P107" s="4">
        <f t="shared" si="9"/>
        <v>0.96153846153846156</v>
      </c>
      <c r="Q107" s="4">
        <f t="shared" si="10"/>
        <v>2.6428108936665036E-4</v>
      </c>
    </row>
    <row r="108" spans="1:17">
      <c r="A108" s="1" t="s">
        <v>130</v>
      </c>
      <c r="B108" s="1" t="s">
        <v>26</v>
      </c>
      <c r="C108" s="1" t="s">
        <v>15</v>
      </c>
      <c r="D108" s="1" t="s">
        <v>392</v>
      </c>
      <c r="E108" s="1">
        <v>31273</v>
      </c>
      <c r="F108" s="1">
        <v>182666</v>
      </c>
      <c r="G108" s="1">
        <f t="shared" si="7"/>
        <v>213939</v>
      </c>
      <c r="H108" s="1">
        <v>37122</v>
      </c>
      <c r="I108" s="1">
        <v>15</v>
      </c>
      <c r="J108" s="1">
        <v>133</v>
      </c>
      <c r="K108" s="1">
        <f t="shared" si="13"/>
        <v>4937226</v>
      </c>
      <c r="L108" s="1">
        <v>11</v>
      </c>
      <c r="M108" s="1">
        <f t="shared" si="11"/>
        <v>4528884</v>
      </c>
      <c r="N108" s="1">
        <f t="shared" si="12"/>
        <v>4314945</v>
      </c>
      <c r="O108" s="4">
        <f t="shared" si="8"/>
        <v>0.95276121004644854</v>
      </c>
      <c r="P108" s="4">
        <f t="shared" si="9"/>
        <v>9.0163934426229506</v>
      </c>
      <c r="Q108" s="4">
        <f t="shared" si="10"/>
        <v>3.0381432812676595E-4</v>
      </c>
    </row>
    <row r="109" spans="1:17">
      <c r="A109" s="1" t="s">
        <v>131</v>
      </c>
      <c r="B109" s="1" t="s">
        <v>17</v>
      </c>
      <c r="C109" s="1" t="s">
        <v>29</v>
      </c>
      <c r="D109" s="1" t="s">
        <v>391</v>
      </c>
      <c r="E109" s="1">
        <v>29219</v>
      </c>
      <c r="F109" s="1">
        <v>187835</v>
      </c>
      <c r="G109" s="1">
        <f t="shared" si="7"/>
        <v>217054</v>
      </c>
      <c r="H109" s="1">
        <v>38325</v>
      </c>
      <c r="I109" s="1">
        <v>10</v>
      </c>
      <c r="J109" s="1">
        <v>142</v>
      </c>
      <c r="K109" s="1">
        <f t="shared" si="13"/>
        <v>5442150</v>
      </c>
      <c r="L109" s="1">
        <v>19</v>
      </c>
      <c r="M109" s="1">
        <f t="shared" si="11"/>
        <v>4713975</v>
      </c>
      <c r="N109" s="1">
        <f t="shared" si="12"/>
        <v>4496921</v>
      </c>
      <c r="O109" s="4">
        <f t="shared" si="8"/>
        <v>0.95395520765383779</v>
      </c>
      <c r="P109" s="4">
        <f t="shared" si="9"/>
        <v>15.447154471544716</v>
      </c>
      <c r="Q109" s="4">
        <f t="shared" si="10"/>
        <v>1.8375090727010463E-4</v>
      </c>
    </row>
    <row r="110" spans="1:17">
      <c r="A110" s="1" t="s">
        <v>132</v>
      </c>
      <c r="B110" s="1" t="s">
        <v>17</v>
      </c>
      <c r="C110" s="1" t="s">
        <v>18</v>
      </c>
      <c r="D110" s="1" t="s">
        <v>392</v>
      </c>
      <c r="E110" s="1">
        <v>27441</v>
      </c>
      <c r="F110" s="1">
        <v>266038</v>
      </c>
      <c r="G110" s="1">
        <f t="shared" si="7"/>
        <v>293479</v>
      </c>
      <c r="H110" s="1">
        <v>32543</v>
      </c>
      <c r="I110" s="1">
        <v>0</v>
      </c>
      <c r="J110" s="1">
        <v>78</v>
      </c>
      <c r="K110" s="1">
        <f t="shared" si="13"/>
        <v>2538354</v>
      </c>
      <c r="L110" s="1">
        <v>15</v>
      </c>
      <c r="M110" s="1">
        <f t="shared" si="11"/>
        <v>2050209</v>
      </c>
      <c r="N110" s="1">
        <f t="shared" si="12"/>
        <v>1756730</v>
      </c>
      <c r="O110" s="4">
        <f t="shared" si="8"/>
        <v>0.85685410609357382</v>
      </c>
      <c r="P110" s="4">
        <f t="shared" si="9"/>
        <v>23.809523809523807</v>
      </c>
      <c r="Q110" s="4">
        <f t="shared" si="10"/>
        <v>0</v>
      </c>
    </row>
    <row r="111" spans="1:17">
      <c r="A111" s="1" t="s">
        <v>133</v>
      </c>
      <c r="B111" s="1" t="s">
        <v>26</v>
      </c>
      <c r="C111" s="1" t="s">
        <v>18</v>
      </c>
      <c r="D111" s="1" t="s">
        <v>392</v>
      </c>
      <c r="E111" s="1">
        <v>35257</v>
      </c>
      <c r="F111" s="1">
        <v>346367</v>
      </c>
      <c r="G111" s="1">
        <f t="shared" si="7"/>
        <v>381624</v>
      </c>
      <c r="H111" s="1">
        <v>36361</v>
      </c>
      <c r="I111" s="1">
        <v>0</v>
      </c>
      <c r="J111" s="1">
        <v>140</v>
      </c>
      <c r="K111" s="1">
        <f t="shared" si="13"/>
        <v>5090540</v>
      </c>
      <c r="L111" s="1">
        <v>26</v>
      </c>
      <c r="M111" s="1">
        <f t="shared" si="11"/>
        <v>4145154</v>
      </c>
      <c r="N111" s="1">
        <f t="shared" si="12"/>
        <v>3763530</v>
      </c>
      <c r="O111" s="4">
        <f t="shared" si="8"/>
        <v>0.907934904227925</v>
      </c>
      <c r="P111" s="4">
        <f t="shared" si="9"/>
        <v>22.807017543859647</v>
      </c>
      <c r="Q111" s="4">
        <f t="shared" si="10"/>
        <v>0</v>
      </c>
    </row>
    <row r="112" spans="1:17">
      <c r="A112" s="1" t="s">
        <v>134</v>
      </c>
      <c r="B112" s="1" t="s">
        <v>26</v>
      </c>
      <c r="C112" s="1" t="s">
        <v>29</v>
      </c>
      <c r="D112" s="1" t="s">
        <v>392</v>
      </c>
      <c r="E112" s="1">
        <v>20083</v>
      </c>
      <c r="F112" s="1">
        <v>62125</v>
      </c>
      <c r="G112" s="1">
        <f t="shared" si="7"/>
        <v>82208</v>
      </c>
      <c r="H112" s="1">
        <v>26783</v>
      </c>
      <c r="I112" s="1">
        <v>10</v>
      </c>
      <c r="J112" s="1">
        <v>59</v>
      </c>
      <c r="K112" s="1">
        <f t="shared" si="13"/>
        <v>1580197</v>
      </c>
      <c r="L112" s="1">
        <v>1</v>
      </c>
      <c r="M112" s="1">
        <f t="shared" si="11"/>
        <v>1553414</v>
      </c>
      <c r="N112" s="1">
        <f t="shared" si="12"/>
        <v>1471206</v>
      </c>
      <c r="O112" s="4">
        <f t="shared" si="8"/>
        <v>0.94707914310029395</v>
      </c>
      <c r="P112" s="4">
        <f t="shared" si="9"/>
        <v>1.7241379310344827</v>
      </c>
      <c r="Q112" s="4">
        <f t="shared" si="10"/>
        <v>6.3283248860743311E-4</v>
      </c>
    </row>
    <row r="113" spans="1:17">
      <c r="A113" s="1" t="s">
        <v>135</v>
      </c>
      <c r="B113" s="1" t="s">
        <v>17</v>
      </c>
      <c r="C113" s="1" t="s">
        <v>18</v>
      </c>
      <c r="D113" s="1" t="s">
        <v>392</v>
      </c>
      <c r="E113" s="1">
        <v>49696</v>
      </c>
      <c r="F113" s="1">
        <v>254747</v>
      </c>
      <c r="G113" s="1">
        <f t="shared" si="7"/>
        <v>304443</v>
      </c>
      <c r="H113" s="1">
        <v>47198</v>
      </c>
      <c r="I113" s="1">
        <v>5</v>
      </c>
      <c r="J113" s="1">
        <v>96</v>
      </c>
      <c r="K113" s="1">
        <f t="shared" si="13"/>
        <v>4531008</v>
      </c>
      <c r="L113" s="1">
        <v>5</v>
      </c>
      <c r="M113" s="1">
        <f t="shared" si="11"/>
        <v>4295018</v>
      </c>
      <c r="N113" s="1">
        <f t="shared" si="12"/>
        <v>3990575</v>
      </c>
      <c r="O113" s="4">
        <f t="shared" si="8"/>
        <v>0.92911717715734832</v>
      </c>
      <c r="P113" s="4">
        <f t="shared" si="9"/>
        <v>5.4945054945054945</v>
      </c>
      <c r="Q113" s="4">
        <f t="shared" si="10"/>
        <v>1.1035072107575179E-4</v>
      </c>
    </row>
    <row r="114" spans="1:17">
      <c r="A114" s="1" t="s">
        <v>136</v>
      </c>
      <c r="B114" s="1" t="s">
        <v>26</v>
      </c>
      <c r="C114" s="1" t="s">
        <v>21</v>
      </c>
      <c r="D114" s="1" t="s">
        <v>391</v>
      </c>
      <c r="E114" s="1">
        <v>21868</v>
      </c>
      <c r="F114" s="1">
        <v>275205</v>
      </c>
      <c r="G114" s="1">
        <f t="shared" si="7"/>
        <v>297073</v>
      </c>
      <c r="H114" s="1">
        <v>21740</v>
      </c>
      <c r="I114" s="1">
        <v>0</v>
      </c>
      <c r="J114" s="1">
        <v>148</v>
      </c>
      <c r="K114" s="1">
        <f t="shared" si="13"/>
        <v>3217520</v>
      </c>
      <c r="L114" s="1">
        <v>10</v>
      </c>
      <c r="M114" s="1">
        <f t="shared" si="11"/>
        <v>3000120</v>
      </c>
      <c r="N114" s="1">
        <f t="shared" si="12"/>
        <v>2703047</v>
      </c>
      <c r="O114" s="4">
        <f t="shared" si="8"/>
        <v>0.90097962748156746</v>
      </c>
      <c r="P114" s="4">
        <f t="shared" si="9"/>
        <v>7.2463768115942031</v>
      </c>
      <c r="Q114" s="4">
        <f t="shared" si="10"/>
        <v>0</v>
      </c>
    </row>
    <row r="115" spans="1:17">
      <c r="A115" s="1" t="s">
        <v>137</v>
      </c>
      <c r="B115" s="1" t="s">
        <v>26</v>
      </c>
      <c r="C115" s="1" t="s">
        <v>21</v>
      </c>
      <c r="D115" s="1" t="s">
        <v>394</v>
      </c>
      <c r="E115" s="1">
        <v>10183</v>
      </c>
      <c r="F115" s="1">
        <v>73121</v>
      </c>
      <c r="G115" s="1">
        <f t="shared" si="7"/>
        <v>83304</v>
      </c>
      <c r="H115" s="1">
        <v>37002</v>
      </c>
      <c r="I115" s="1">
        <v>15</v>
      </c>
      <c r="J115" s="1">
        <v>72</v>
      </c>
      <c r="K115" s="1">
        <f t="shared" si="13"/>
        <v>2664144</v>
      </c>
      <c r="L115" s="1">
        <v>38</v>
      </c>
      <c r="M115" s="1">
        <f t="shared" si="11"/>
        <v>1258068</v>
      </c>
      <c r="N115" s="1">
        <f t="shared" si="12"/>
        <v>1174764</v>
      </c>
      <c r="O115" s="4">
        <f t="shared" si="8"/>
        <v>0.93378418336687685</v>
      </c>
      <c r="P115" s="4">
        <f t="shared" si="9"/>
        <v>111.76470588235294</v>
      </c>
      <c r="Q115" s="4">
        <f t="shared" si="10"/>
        <v>5.6303262886690808E-4</v>
      </c>
    </row>
    <row r="116" spans="1:17">
      <c r="A116" s="1" t="s">
        <v>138</v>
      </c>
      <c r="B116" s="1" t="s">
        <v>20</v>
      </c>
      <c r="C116" s="1" t="s">
        <v>15</v>
      </c>
      <c r="D116" s="1" t="s">
        <v>392</v>
      </c>
      <c r="E116" s="1">
        <v>12855</v>
      </c>
      <c r="F116" s="1">
        <v>165314</v>
      </c>
      <c r="G116" s="1">
        <f t="shared" si="7"/>
        <v>178169</v>
      </c>
      <c r="H116" s="1">
        <v>45616</v>
      </c>
      <c r="I116" s="1">
        <v>15</v>
      </c>
      <c r="J116" s="1">
        <v>78</v>
      </c>
      <c r="K116" s="1">
        <f t="shared" si="13"/>
        <v>3558048</v>
      </c>
      <c r="L116" s="1">
        <v>38</v>
      </c>
      <c r="M116" s="1">
        <f t="shared" si="11"/>
        <v>1824640</v>
      </c>
      <c r="N116" s="1">
        <f t="shared" si="12"/>
        <v>1646471</v>
      </c>
      <c r="O116" s="4">
        <f t="shared" si="8"/>
        <v>0.90235388898632063</v>
      </c>
      <c r="P116" s="4">
        <f t="shared" si="9"/>
        <v>95</v>
      </c>
      <c r="Q116" s="4">
        <f t="shared" si="10"/>
        <v>4.2157947278957452E-4</v>
      </c>
    </row>
    <row r="117" spans="1:17">
      <c r="A117" s="1" t="s">
        <v>139</v>
      </c>
      <c r="B117" s="1" t="s">
        <v>20</v>
      </c>
      <c r="C117" s="1" t="s">
        <v>15</v>
      </c>
      <c r="D117" s="1" t="s">
        <v>392</v>
      </c>
      <c r="E117" s="1">
        <v>14187</v>
      </c>
      <c r="F117" s="1">
        <v>285958</v>
      </c>
      <c r="G117" s="1">
        <f t="shared" si="7"/>
        <v>300145</v>
      </c>
      <c r="H117" s="1">
        <v>66799</v>
      </c>
      <c r="I117" s="1">
        <v>20</v>
      </c>
      <c r="J117" s="1">
        <v>42</v>
      </c>
      <c r="K117" s="1">
        <f t="shared" si="13"/>
        <v>2805558</v>
      </c>
      <c r="L117" s="1">
        <v>7</v>
      </c>
      <c r="M117" s="1">
        <f t="shared" si="11"/>
        <v>2337965</v>
      </c>
      <c r="N117" s="1">
        <f t="shared" si="12"/>
        <v>2037820</v>
      </c>
      <c r="O117" s="4">
        <f t="shared" si="8"/>
        <v>0.87162126036959497</v>
      </c>
      <c r="P117" s="4">
        <f t="shared" si="9"/>
        <v>20</v>
      </c>
      <c r="Q117" s="4">
        <f t="shared" si="10"/>
        <v>7.1287066601367715E-4</v>
      </c>
    </row>
    <row r="118" spans="1:17">
      <c r="A118" s="1" t="s">
        <v>140</v>
      </c>
      <c r="B118" s="1" t="s">
        <v>20</v>
      </c>
      <c r="C118" s="1" t="s">
        <v>18</v>
      </c>
      <c r="D118" s="1" t="s">
        <v>391</v>
      </c>
      <c r="E118" s="1">
        <v>28605</v>
      </c>
      <c r="F118" s="1">
        <v>123712</v>
      </c>
      <c r="G118" s="1">
        <f t="shared" si="7"/>
        <v>152317</v>
      </c>
      <c r="H118" s="1">
        <v>23944</v>
      </c>
      <c r="I118" s="1">
        <v>10</v>
      </c>
      <c r="J118" s="1">
        <v>16</v>
      </c>
      <c r="K118" s="1">
        <f t="shared" si="13"/>
        <v>383104</v>
      </c>
      <c r="L118" s="1">
        <v>36</v>
      </c>
      <c r="M118" s="1">
        <f t="shared" si="11"/>
        <v>-478880</v>
      </c>
      <c r="N118" s="1">
        <f t="shared" si="12"/>
        <v>-631197</v>
      </c>
      <c r="O118" s="4">
        <f t="shared" si="8"/>
        <v>-1.3180692449047777</v>
      </c>
      <c r="P118" s="4">
        <f t="shared" si="9"/>
        <v>-180</v>
      </c>
      <c r="Q118" s="4">
        <f t="shared" si="10"/>
        <v>2.6102572669562314E-3</v>
      </c>
    </row>
    <row r="119" spans="1:17">
      <c r="A119" s="1" t="s">
        <v>141</v>
      </c>
      <c r="B119" s="1" t="s">
        <v>20</v>
      </c>
      <c r="C119" s="1" t="s">
        <v>29</v>
      </c>
      <c r="D119" s="1" t="s">
        <v>391</v>
      </c>
      <c r="E119" s="1">
        <v>41836</v>
      </c>
      <c r="F119" s="1">
        <v>80718</v>
      </c>
      <c r="G119" s="1">
        <f t="shared" si="7"/>
        <v>122554</v>
      </c>
      <c r="H119" s="1">
        <v>36217</v>
      </c>
      <c r="I119" s="1">
        <v>15</v>
      </c>
      <c r="J119" s="1">
        <v>66</v>
      </c>
      <c r="K119" s="1">
        <f t="shared" si="13"/>
        <v>2390322</v>
      </c>
      <c r="L119" s="1">
        <v>32</v>
      </c>
      <c r="M119" s="1">
        <f t="shared" si="11"/>
        <v>1231378</v>
      </c>
      <c r="N119" s="1">
        <f t="shared" si="12"/>
        <v>1108824</v>
      </c>
      <c r="O119" s="4">
        <f t="shared" si="8"/>
        <v>0.90047410299680519</v>
      </c>
      <c r="P119" s="4">
        <f t="shared" si="9"/>
        <v>94.117647058823522</v>
      </c>
      <c r="Q119" s="4">
        <f t="shared" si="10"/>
        <v>6.2753051680903237E-4</v>
      </c>
    </row>
    <row r="120" spans="1:17">
      <c r="A120" s="1" t="s">
        <v>142</v>
      </c>
      <c r="B120" s="1" t="s">
        <v>20</v>
      </c>
      <c r="C120" s="1" t="s">
        <v>15</v>
      </c>
      <c r="D120" s="1" t="s">
        <v>394</v>
      </c>
      <c r="E120" s="1">
        <v>31824</v>
      </c>
      <c r="F120" s="1">
        <v>189125</v>
      </c>
      <c r="G120" s="1">
        <f t="shared" si="7"/>
        <v>220949</v>
      </c>
      <c r="H120" s="1">
        <v>45316</v>
      </c>
      <c r="I120" s="1">
        <v>0</v>
      </c>
      <c r="J120" s="1">
        <v>72</v>
      </c>
      <c r="K120" s="1">
        <f t="shared" si="13"/>
        <v>3262752</v>
      </c>
      <c r="L120" s="1">
        <v>20</v>
      </c>
      <c r="M120" s="1">
        <f t="shared" si="11"/>
        <v>2356432</v>
      </c>
      <c r="N120" s="1">
        <f t="shared" si="12"/>
        <v>2135483</v>
      </c>
      <c r="O120" s="4">
        <f t="shared" si="8"/>
        <v>0.90623578359146373</v>
      </c>
      <c r="P120" s="4">
        <f t="shared" si="9"/>
        <v>38.461538461538467</v>
      </c>
      <c r="Q120" s="4">
        <f t="shared" si="10"/>
        <v>0</v>
      </c>
    </row>
    <row r="121" spans="1:17">
      <c r="A121" s="1" t="s">
        <v>143</v>
      </c>
      <c r="B121" s="1" t="s">
        <v>26</v>
      </c>
      <c r="C121" s="1" t="s">
        <v>21</v>
      </c>
      <c r="D121" s="1" t="s">
        <v>392</v>
      </c>
      <c r="E121" s="1">
        <v>11791</v>
      </c>
      <c r="F121" s="1">
        <v>195464</v>
      </c>
      <c r="G121" s="1">
        <f t="shared" si="7"/>
        <v>207255</v>
      </c>
      <c r="H121" s="1">
        <v>28795</v>
      </c>
      <c r="I121" s="1">
        <v>10</v>
      </c>
      <c r="J121" s="1">
        <v>47</v>
      </c>
      <c r="K121" s="1">
        <f t="shared" si="13"/>
        <v>1353365</v>
      </c>
      <c r="L121" s="1">
        <v>12</v>
      </c>
      <c r="M121" s="1">
        <f t="shared" si="11"/>
        <v>1007825</v>
      </c>
      <c r="N121" s="1">
        <f t="shared" si="12"/>
        <v>800570</v>
      </c>
      <c r="O121" s="4">
        <f t="shared" si="8"/>
        <v>0.7943541785528242</v>
      </c>
      <c r="P121" s="4">
        <f t="shared" si="9"/>
        <v>34.285714285714285</v>
      </c>
      <c r="Q121" s="4">
        <f t="shared" si="10"/>
        <v>7.3889896664979513E-4</v>
      </c>
    </row>
    <row r="122" spans="1:17">
      <c r="A122" s="1" t="s">
        <v>144</v>
      </c>
      <c r="B122" s="1" t="s">
        <v>26</v>
      </c>
      <c r="C122" s="1" t="s">
        <v>31</v>
      </c>
      <c r="D122" s="1" t="s">
        <v>392</v>
      </c>
      <c r="E122" s="1">
        <v>7493</v>
      </c>
      <c r="F122" s="1">
        <v>350638</v>
      </c>
      <c r="G122" s="1">
        <f t="shared" si="7"/>
        <v>358131</v>
      </c>
      <c r="H122" s="1">
        <v>39780</v>
      </c>
      <c r="I122" s="1">
        <v>0</v>
      </c>
      <c r="J122" s="1">
        <v>115</v>
      </c>
      <c r="K122" s="1">
        <f t="shared" si="13"/>
        <v>4574700</v>
      </c>
      <c r="L122" s="1">
        <v>29</v>
      </c>
      <c r="M122" s="1">
        <f t="shared" si="11"/>
        <v>3421080</v>
      </c>
      <c r="N122" s="1">
        <f t="shared" si="12"/>
        <v>3062949</v>
      </c>
      <c r="O122" s="4">
        <f t="shared" si="8"/>
        <v>0.89531639131502327</v>
      </c>
      <c r="P122" s="4">
        <f t="shared" si="9"/>
        <v>33.720930232558139</v>
      </c>
      <c r="Q122" s="4">
        <f t="shared" si="10"/>
        <v>0</v>
      </c>
    </row>
    <row r="123" spans="1:17">
      <c r="A123" s="1" t="s">
        <v>145</v>
      </c>
      <c r="B123" s="1" t="s">
        <v>17</v>
      </c>
      <c r="C123" s="1" t="s">
        <v>15</v>
      </c>
      <c r="D123" s="1" t="s">
        <v>391</v>
      </c>
      <c r="E123" s="1">
        <v>9492</v>
      </c>
      <c r="F123" s="1">
        <v>341425</v>
      </c>
      <c r="G123" s="1">
        <f t="shared" si="7"/>
        <v>350917</v>
      </c>
      <c r="H123" s="1">
        <v>40529</v>
      </c>
      <c r="I123" s="1">
        <v>10</v>
      </c>
      <c r="J123" s="1">
        <v>18</v>
      </c>
      <c r="K123" s="1">
        <f t="shared" si="13"/>
        <v>729522</v>
      </c>
      <c r="L123" s="1">
        <v>32</v>
      </c>
      <c r="M123" s="1">
        <f t="shared" si="11"/>
        <v>-567406</v>
      </c>
      <c r="N123" s="1">
        <f t="shared" si="12"/>
        <v>-918323</v>
      </c>
      <c r="O123" s="4">
        <f t="shared" si="8"/>
        <v>-1.6184583878210663</v>
      </c>
      <c r="P123" s="4">
        <f t="shared" si="9"/>
        <v>-228.57142857142856</v>
      </c>
      <c r="Q123" s="4">
        <f t="shared" si="10"/>
        <v>1.3707605802155383E-3</v>
      </c>
    </row>
    <row r="124" spans="1:17">
      <c r="A124" s="1" t="s">
        <v>146</v>
      </c>
      <c r="B124" s="1" t="s">
        <v>26</v>
      </c>
      <c r="C124" s="1" t="s">
        <v>29</v>
      </c>
      <c r="D124" s="1" t="s">
        <v>391</v>
      </c>
      <c r="E124" s="1">
        <v>16912</v>
      </c>
      <c r="F124" s="1">
        <v>87104</v>
      </c>
      <c r="G124" s="1">
        <f t="shared" si="7"/>
        <v>104016</v>
      </c>
      <c r="H124" s="1">
        <v>12532</v>
      </c>
      <c r="I124" s="1">
        <v>20</v>
      </c>
      <c r="J124" s="1">
        <v>50</v>
      </c>
      <c r="K124" s="1">
        <f t="shared" si="13"/>
        <v>626600</v>
      </c>
      <c r="L124" s="1">
        <v>16</v>
      </c>
      <c r="M124" s="1">
        <f t="shared" si="11"/>
        <v>426088</v>
      </c>
      <c r="N124" s="1">
        <f t="shared" si="12"/>
        <v>322072</v>
      </c>
      <c r="O124" s="4">
        <f t="shared" si="8"/>
        <v>0.75588141416796528</v>
      </c>
      <c r="P124" s="4">
        <f t="shared" si="9"/>
        <v>47.058823529411761</v>
      </c>
      <c r="Q124" s="4">
        <f t="shared" si="10"/>
        <v>3.1918289179699972E-3</v>
      </c>
    </row>
    <row r="125" spans="1:17">
      <c r="A125" s="1" t="s">
        <v>147</v>
      </c>
      <c r="B125" s="1" t="s">
        <v>20</v>
      </c>
      <c r="C125" s="1" t="s">
        <v>74</v>
      </c>
      <c r="D125" s="1" t="s">
        <v>391</v>
      </c>
      <c r="E125" s="1">
        <v>6996</v>
      </c>
      <c r="F125" s="1">
        <v>162218</v>
      </c>
      <c r="G125" s="1">
        <f t="shared" si="7"/>
        <v>169214</v>
      </c>
      <c r="H125" s="1">
        <v>45397</v>
      </c>
      <c r="I125" s="1">
        <v>20</v>
      </c>
      <c r="J125" s="1">
        <v>76</v>
      </c>
      <c r="K125" s="1">
        <f t="shared" si="13"/>
        <v>3450172</v>
      </c>
      <c r="L125" s="1">
        <v>36</v>
      </c>
      <c r="M125" s="1">
        <f t="shared" si="11"/>
        <v>1815880</v>
      </c>
      <c r="N125" s="1">
        <f t="shared" si="12"/>
        <v>1646666</v>
      </c>
      <c r="O125" s="4">
        <f t="shared" si="8"/>
        <v>0.90681432693790343</v>
      </c>
      <c r="P125" s="4">
        <f t="shared" si="9"/>
        <v>90</v>
      </c>
      <c r="Q125" s="4">
        <f t="shared" si="10"/>
        <v>5.7968124487706694E-4</v>
      </c>
    </row>
    <row r="126" spans="1:17">
      <c r="A126" s="1" t="s">
        <v>148</v>
      </c>
      <c r="B126" s="1" t="s">
        <v>26</v>
      </c>
      <c r="C126" s="1" t="s">
        <v>21</v>
      </c>
      <c r="D126" s="1" t="s">
        <v>391</v>
      </c>
      <c r="E126" s="1">
        <v>45941</v>
      </c>
      <c r="F126" s="1">
        <v>111423</v>
      </c>
      <c r="G126" s="1">
        <f t="shared" si="7"/>
        <v>157364</v>
      </c>
      <c r="H126" s="1">
        <v>79990</v>
      </c>
      <c r="I126" s="1">
        <v>5</v>
      </c>
      <c r="J126" s="1">
        <v>85</v>
      </c>
      <c r="K126" s="1">
        <f t="shared" si="13"/>
        <v>6799150</v>
      </c>
      <c r="L126" s="1">
        <v>23</v>
      </c>
      <c r="M126" s="1">
        <f t="shared" si="11"/>
        <v>4959380</v>
      </c>
      <c r="N126" s="1">
        <f t="shared" si="12"/>
        <v>4802016</v>
      </c>
      <c r="O126" s="4">
        <f t="shared" si="8"/>
        <v>0.96826942077437095</v>
      </c>
      <c r="P126" s="4">
        <f t="shared" si="9"/>
        <v>37.096774193548384</v>
      </c>
      <c r="Q126" s="4">
        <f t="shared" si="10"/>
        <v>7.3538604090217152E-5</v>
      </c>
    </row>
    <row r="127" spans="1:17">
      <c r="A127" s="1" t="s">
        <v>149</v>
      </c>
      <c r="B127" s="1" t="s">
        <v>20</v>
      </c>
      <c r="C127" s="1" t="s">
        <v>29</v>
      </c>
      <c r="D127" s="1" t="s">
        <v>391</v>
      </c>
      <c r="E127" s="1">
        <v>35758</v>
      </c>
      <c r="F127" s="1">
        <v>70898</v>
      </c>
      <c r="G127" s="1">
        <f t="shared" si="7"/>
        <v>106656</v>
      </c>
      <c r="H127" s="1">
        <v>54203</v>
      </c>
      <c r="I127" s="1">
        <v>0</v>
      </c>
      <c r="J127" s="1">
        <v>144</v>
      </c>
      <c r="K127" s="1">
        <f t="shared" si="13"/>
        <v>7805232</v>
      </c>
      <c r="L127" s="1">
        <v>24</v>
      </c>
      <c r="M127" s="1">
        <f t="shared" si="11"/>
        <v>6504360</v>
      </c>
      <c r="N127" s="1">
        <f t="shared" si="12"/>
        <v>6397704</v>
      </c>
      <c r="O127" s="4">
        <f t="shared" si="8"/>
        <v>0.98360238363190233</v>
      </c>
      <c r="P127" s="4">
        <f t="shared" si="9"/>
        <v>20</v>
      </c>
      <c r="Q127" s="4">
        <f t="shared" si="10"/>
        <v>0</v>
      </c>
    </row>
    <row r="128" spans="1:17">
      <c r="A128" s="1" t="s">
        <v>150</v>
      </c>
      <c r="B128" s="1" t="s">
        <v>17</v>
      </c>
      <c r="C128" s="1" t="s">
        <v>29</v>
      </c>
      <c r="D128" s="1" t="s">
        <v>392</v>
      </c>
      <c r="E128" s="1">
        <v>32419</v>
      </c>
      <c r="F128" s="1">
        <v>82069</v>
      </c>
      <c r="G128" s="1">
        <f t="shared" si="7"/>
        <v>114488</v>
      </c>
      <c r="H128" s="1">
        <v>39303</v>
      </c>
      <c r="I128" s="1">
        <v>20</v>
      </c>
      <c r="J128" s="1">
        <v>101</v>
      </c>
      <c r="K128" s="1">
        <f t="shared" si="13"/>
        <v>3969603</v>
      </c>
      <c r="L128" s="1">
        <v>4</v>
      </c>
      <c r="M128" s="1">
        <f t="shared" si="11"/>
        <v>3812391</v>
      </c>
      <c r="N128" s="1">
        <f t="shared" si="12"/>
        <v>3697903</v>
      </c>
      <c r="O128" s="4">
        <f t="shared" si="8"/>
        <v>0.96996950207887911</v>
      </c>
      <c r="P128" s="4">
        <f t="shared" si="9"/>
        <v>4.1237113402061851</v>
      </c>
      <c r="Q128" s="4">
        <f t="shared" si="10"/>
        <v>5.0382872040352644E-4</v>
      </c>
    </row>
    <row r="129" spans="1:17">
      <c r="A129" s="1" t="s">
        <v>151</v>
      </c>
      <c r="B129" s="1" t="s">
        <v>17</v>
      </c>
      <c r="C129" s="1" t="s">
        <v>29</v>
      </c>
      <c r="D129" s="1" t="s">
        <v>391</v>
      </c>
      <c r="E129" s="1">
        <v>24458</v>
      </c>
      <c r="F129" s="1">
        <v>246057</v>
      </c>
      <c r="G129" s="1">
        <f t="shared" si="7"/>
        <v>270515</v>
      </c>
      <c r="H129" s="1">
        <v>45352</v>
      </c>
      <c r="I129" s="1">
        <v>10</v>
      </c>
      <c r="J129" s="1">
        <v>115</v>
      </c>
      <c r="K129" s="1">
        <f t="shared" si="13"/>
        <v>5215480</v>
      </c>
      <c r="L129" s="1">
        <v>37</v>
      </c>
      <c r="M129" s="1">
        <f t="shared" si="11"/>
        <v>3537456</v>
      </c>
      <c r="N129" s="1">
        <f t="shared" si="12"/>
        <v>3266941</v>
      </c>
      <c r="O129" s="4">
        <f t="shared" si="8"/>
        <v>0.92352837745543692</v>
      </c>
      <c r="P129" s="4">
        <f t="shared" si="9"/>
        <v>47.435897435897431</v>
      </c>
      <c r="Q129" s="4">
        <f t="shared" si="10"/>
        <v>1.9173690628666968E-4</v>
      </c>
    </row>
    <row r="130" spans="1:17">
      <c r="A130" s="1" t="s">
        <v>152</v>
      </c>
      <c r="B130" s="1" t="s">
        <v>26</v>
      </c>
      <c r="C130" s="1" t="s">
        <v>15</v>
      </c>
      <c r="D130" s="1" t="s">
        <v>392</v>
      </c>
      <c r="E130" s="1">
        <v>28285</v>
      </c>
      <c r="F130" s="1">
        <v>210141</v>
      </c>
      <c r="G130" s="1">
        <f t="shared" si="7"/>
        <v>238426</v>
      </c>
      <c r="H130" s="1">
        <v>82060</v>
      </c>
      <c r="I130" s="1">
        <v>10</v>
      </c>
      <c r="J130" s="1">
        <v>102</v>
      </c>
      <c r="K130" s="1">
        <f t="shared" si="13"/>
        <v>8370120</v>
      </c>
      <c r="L130" s="1">
        <v>24</v>
      </c>
      <c r="M130" s="1">
        <f t="shared" si="11"/>
        <v>6400680</v>
      </c>
      <c r="N130" s="1">
        <f t="shared" si="12"/>
        <v>6162254</v>
      </c>
      <c r="O130" s="4">
        <f t="shared" si="8"/>
        <v>0.96274989532362187</v>
      </c>
      <c r="P130" s="4">
        <f t="shared" si="9"/>
        <v>30.76923076923077</v>
      </c>
      <c r="Q130" s="4">
        <f t="shared" si="10"/>
        <v>1.1947260015388072E-4</v>
      </c>
    </row>
    <row r="131" spans="1:17">
      <c r="A131" s="1" t="s">
        <v>153</v>
      </c>
      <c r="B131" s="1" t="s">
        <v>14</v>
      </c>
      <c r="C131" s="1" t="s">
        <v>29</v>
      </c>
      <c r="D131" s="1" t="s">
        <v>391</v>
      </c>
      <c r="E131" s="1">
        <v>40582</v>
      </c>
      <c r="F131" s="1">
        <v>361041</v>
      </c>
      <c r="G131" s="1">
        <f t="shared" ref="G131:G194" si="14">E131+F131</f>
        <v>401623</v>
      </c>
      <c r="H131" s="1">
        <v>81571</v>
      </c>
      <c r="I131" s="1">
        <v>15</v>
      </c>
      <c r="J131" s="1">
        <v>67</v>
      </c>
      <c r="K131" s="1">
        <f t="shared" si="13"/>
        <v>5465257</v>
      </c>
      <c r="L131" s="1">
        <v>8</v>
      </c>
      <c r="M131" s="1">
        <f t="shared" si="11"/>
        <v>4812689</v>
      </c>
      <c r="N131" s="1">
        <f t="shared" si="12"/>
        <v>4411066</v>
      </c>
      <c r="O131" s="4">
        <f t="shared" ref="O131:O194" si="15">SUM(N131/ABS(M131))</f>
        <v>0.91654914747244209</v>
      </c>
      <c r="P131" s="4">
        <f t="shared" ref="P131:P194" si="16">SUM(H131*L131)/M131*100</f>
        <v>13.559322033898304</v>
      </c>
      <c r="Q131" s="4">
        <f t="shared" ref="Q131:Q194" si="17">I131/K131*100</f>
        <v>2.7446101802714861E-4</v>
      </c>
    </row>
    <row r="132" spans="1:17">
      <c r="A132" s="1" t="s">
        <v>154</v>
      </c>
      <c r="B132" s="1" t="s">
        <v>17</v>
      </c>
      <c r="C132" s="1" t="s">
        <v>21</v>
      </c>
      <c r="D132" s="1" t="s">
        <v>392</v>
      </c>
      <c r="E132" s="1">
        <v>19275</v>
      </c>
      <c r="F132" s="1">
        <v>225378</v>
      </c>
      <c r="G132" s="1">
        <f t="shared" si="14"/>
        <v>244653</v>
      </c>
      <c r="H132" s="1">
        <v>67411</v>
      </c>
      <c r="I132" s="1">
        <v>20</v>
      </c>
      <c r="J132" s="1">
        <v>19</v>
      </c>
      <c r="K132" s="1">
        <f t="shared" si="13"/>
        <v>1280809</v>
      </c>
      <c r="L132" s="1">
        <v>4</v>
      </c>
      <c r="M132" s="1">
        <f t="shared" ref="M132:M195" si="18">K132-H132*L132</f>
        <v>1011165</v>
      </c>
      <c r="N132" s="1">
        <f t="shared" ref="N132:N195" si="19">M132-G132</f>
        <v>766512</v>
      </c>
      <c r="O132" s="4">
        <f t="shared" si="15"/>
        <v>0.75804838972867927</v>
      </c>
      <c r="P132" s="4">
        <f t="shared" si="16"/>
        <v>26.666666666666668</v>
      </c>
      <c r="Q132" s="4">
        <f t="shared" si="17"/>
        <v>1.5615130749393547E-3</v>
      </c>
    </row>
    <row r="133" spans="1:17">
      <c r="A133" s="1" t="s">
        <v>155</v>
      </c>
      <c r="B133" s="1" t="s">
        <v>14</v>
      </c>
      <c r="C133" s="1" t="s">
        <v>21</v>
      </c>
      <c r="D133" s="1" t="s">
        <v>392</v>
      </c>
      <c r="E133" s="1">
        <v>45840</v>
      </c>
      <c r="F133" s="1">
        <v>194768</v>
      </c>
      <c r="G133" s="1">
        <f t="shared" si="14"/>
        <v>240608</v>
      </c>
      <c r="H133" s="1">
        <v>42296</v>
      </c>
      <c r="I133" s="1">
        <v>15</v>
      </c>
      <c r="J133" s="1">
        <v>115</v>
      </c>
      <c r="K133" s="1">
        <f t="shared" ref="K133:K196" si="20">H133*J133</f>
        <v>4864040</v>
      </c>
      <c r="L133" s="1">
        <v>15</v>
      </c>
      <c r="M133" s="1">
        <f t="shared" si="18"/>
        <v>4229600</v>
      </c>
      <c r="N133" s="1">
        <f t="shared" si="19"/>
        <v>3988992</v>
      </c>
      <c r="O133" s="4">
        <f t="shared" si="15"/>
        <v>0.94311329676565159</v>
      </c>
      <c r="P133" s="4">
        <f t="shared" si="16"/>
        <v>15</v>
      </c>
      <c r="Q133" s="4">
        <f t="shared" si="17"/>
        <v>3.0838562182876789E-4</v>
      </c>
    </row>
    <row r="134" spans="1:17">
      <c r="A134" s="1" t="s">
        <v>156</v>
      </c>
      <c r="B134" s="1" t="s">
        <v>26</v>
      </c>
      <c r="C134" s="1" t="s">
        <v>21</v>
      </c>
      <c r="D134" s="1" t="s">
        <v>392</v>
      </c>
      <c r="E134" s="1">
        <v>40034</v>
      </c>
      <c r="F134" s="1">
        <v>86988</v>
      </c>
      <c r="G134" s="1">
        <f t="shared" si="14"/>
        <v>127022</v>
      </c>
      <c r="H134" s="1">
        <v>57690</v>
      </c>
      <c r="I134" s="1">
        <v>20</v>
      </c>
      <c r="J134" s="1">
        <v>119</v>
      </c>
      <c r="K134" s="1">
        <f t="shared" si="20"/>
        <v>6865110</v>
      </c>
      <c r="L134" s="1">
        <v>16</v>
      </c>
      <c r="M134" s="1">
        <f t="shared" si="18"/>
        <v>5942070</v>
      </c>
      <c r="N134" s="1">
        <f t="shared" si="19"/>
        <v>5815048</v>
      </c>
      <c r="O134" s="4">
        <f t="shared" si="15"/>
        <v>0.97862327438081342</v>
      </c>
      <c r="P134" s="4">
        <f t="shared" si="16"/>
        <v>15.53398058252427</v>
      </c>
      <c r="Q134" s="4">
        <f t="shared" si="17"/>
        <v>2.9132817973783381E-4</v>
      </c>
    </row>
    <row r="135" spans="1:17">
      <c r="A135" s="1" t="s">
        <v>157</v>
      </c>
      <c r="B135" s="1" t="s">
        <v>20</v>
      </c>
      <c r="C135" s="1" t="s">
        <v>18</v>
      </c>
      <c r="D135" s="1" t="s">
        <v>392</v>
      </c>
      <c r="E135" s="1">
        <v>29191</v>
      </c>
      <c r="F135" s="1">
        <v>96589</v>
      </c>
      <c r="G135" s="1">
        <f t="shared" si="14"/>
        <v>125780</v>
      </c>
      <c r="H135" s="1">
        <v>48669</v>
      </c>
      <c r="I135" s="1">
        <v>5</v>
      </c>
      <c r="J135" s="1">
        <v>37</v>
      </c>
      <c r="K135" s="1">
        <f t="shared" si="20"/>
        <v>1800753</v>
      </c>
      <c r="L135" s="1">
        <v>3</v>
      </c>
      <c r="M135" s="1">
        <f t="shared" si="18"/>
        <v>1654746</v>
      </c>
      <c r="N135" s="1">
        <f t="shared" si="19"/>
        <v>1528966</v>
      </c>
      <c r="O135" s="4">
        <f t="shared" si="15"/>
        <v>0.92398833416125492</v>
      </c>
      <c r="P135" s="4">
        <f t="shared" si="16"/>
        <v>8.8235294117647065</v>
      </c>
      <c r="Q135" s="4">
        <f t="shared" si="17"/>
        <v>2.7766162266562935E-4</v>
      </c>
    </row>
    <row r="136" spans="1:17">
      <c r="A136" s="1" t="s">
        <v>158</v>
      </c>
      <c r="B136" s="1" t="s">
        <v>14</v>
      </c>
      <c r="C136" s="1" t="s">
        <v>29</v>
      </c>
      <c r="D136" s="1" t="s">
        <v>392</v>
      </c>
      <c r="E136" s="1">
        <v>15747</v>
      </c>
      <c r="F136" s="1">
        <v>114540</v>
      </c>
      <c r="G136" s="1">
        <f t="shared" si="14"/>
        <v>130287</v>
      </c>
      <c r="H136" s="1">
        <v>78532</v>
      </c>
      <c r="I136" s="1">
        <v>20</v>
      </c>
      <c r="J136" s="1">
        <v>49</v>
      </c>
      <c r="K136" s="1">
        <f t="shared" si="20"/>
        <v>3848068</v>
      </c>
      <c r="L136" s="1">
        <v>8</v>
      </c>
      <c r="M136" s="1">
        <f t="shared" si="18"/>
        <v>3219812</v>
      </c>
      <c r="N136" s="1">
        <f t="shared" si="19"/>
        <v>3089525</v>
      </c>
      <c r="O136" s="4">
        <f t="shared" si="15"/>
        <v>0.95953583625379368</v>
      </c>
      <c r="P136" s="4">
        <f t="shared" si="16"/>
        <v>19.512195121951219</v>
      </c>
      <c r="Q136" s="4">
        <f t="shared" si="17"/>
        <v>5.1974133513233139E-4</v>
      </c>
    </row>
    <row r="137" spans="1:17">
      <c r="A137" s="1" t="s">
        <v>159</v>
      </c>
      <c r="B137" s="1" t="s">
        <v>20</v>
      </c>
      <c r="C137" s="1" t="s">
        <v>31</v>
      </c>
      <c r="D137" s="1" t="s">
        <v>394</v>
      </c>
      <c r="E137" s="1">
        <v>14723</v>
      </c>
      <c r="F137" s="1">
        <v>286830</v>
      </c>
      <c r="G137" s="1">
        <f t="shared" si="14"/>
        <v>301553</v>
      </c>
      <c r="H137" s="1">
        <v>55868</v>
      </c>
      <c r="I137" s="1">
        <v>10</v>
      </c>
      <c r="J137" s="1">
        <v>142</v>
      </c>
      <c r="K137" s="1">
        <f t="shared" si="20"/>
        <v>7933256</v>
      </c>
      <c r="L137" s="1">
        <v>18</v>
      </c>
      <c r="M137" s="1">
        <f t="shared" si="18"/>
        <v>6927632</v>
      </c>
      <c r="N137" s="1">
        <f t="shared" si="19"/>
        <v>6626079</v>
      </c>
      <c r="O137" s="4">
        <f t="shared" si="15"/>
        <v>0.95647098460195346</v>
      </c>
      <c r="P137" s="4">
        <f t="shared" si="16"/>
        <v>14.516129032258066</v>
      </c>
      <c r="Q137" s="4">
        <f t="shared" si="17"/>
        <v>1.2605164890682968E-4</v>
      </c>
    </row>
    <row r="138" spans="1:17">
      <c r="A138" s="1" t="s">
        <v>160</v>
      </c>
      <c r="B138" s="1" t="s">
        <v>20</v>
      </c>
      <c r="C138" s="1" t="s">
        <v>21</v>
      </c>
      <c r="D138" s="1" t="s">
        <v>394</v>
      </c>
      <c r="E138" s="1">
        <v>21522</v>
      </c>
      <c r="F138" s="1">
        <v>360009</v>
      </c>
      <c r="G138" s="1">
        <f t="shared" si="14"/>
        <v>381531</v>
      </c>
      <c r="H138" s="1">
        <v>84099</v>
      </c>
      <c r="I138" s="1">
        <v>15</v>
      </c>
      <c r="J138" s="1">
        <v>41</v>
      </c>
      <c r="K138" s="1">
        <f t="shared" si="20"/>
        <v>3448059</v>
      </c>
      <c r="L138" s="1">
        <v>12</v>
      </c>
      <c r="M138" s="1">
        <f t="shared" si="18"/>
        <v>2438871</v>
      </c>
      <c r="N138" s="1">
        <f t="shared" si="19"/>
        <v>2057340</v>
      </c>
      <c r="O138" s="4">
        <f t="shared" si="15"/>
        <v>0.84356245164258381</v>
      </c>
      <c r="P138" s="4">
        <f t="shared" si="16"/>
        <v>41.379310344827587</v>
      </c>
      <c r="Q138" s="4">
        <f t="shared" si="17"/>
        <v>4.3502735887059936E-4</v>
      </c>
    </row>
    <row r="139" spans="1:17">
      <c r="A139" s="1" t="s">
        <v>161</v>
      </c>
      <c r="B139" s="1" t="s">
        <v>14</v>
      </c>
      <c r="C139" s="1" t="s">
        <v>18</v>
      </c>
      <c r="D139" s="1" t="s">
        <v>391</v>
      </c>
      <c r="E139" s="1">
        <v>27047</v>
      </c>
      <c r="F139" s="1">
        <v>391595</v>
      </c>
      <c r="G139" s="1">
        <f t="shared" si="14"/>
        <v>418642</v>
      </c>
      <c r="H139" s="1">
        <v>84343</v>
      </c>
      <c r="I139" s="1">
        <v>5</v>
      </c>
      <c r="J139" s="1">
        <v>144</v>
      </c>
      <c r="K139" s="1">
        <f t="shared" si="20"/>
        <v>12145392</v>
      </c>
      <c r="L139" s="1">
        <v>24</v>
      </c>
      <c r="M139" s="1">
        <f t="shared" si="18"/>
        <v>10121160</v>
      </c>
      <c r="N139" s="1">
        <f t="shared" si="19"/>
        <v>9702518</v>
      </c>
      <c r="O139" s="4">
        <f t="shared" si="15"/>
        <v>0.95863695465737131</v>
      </c>
      <c r="P139" s="4">
        <f t="shared" si="16"/>
        <v>20</v>
      </c>
      <c r="Q139" s="4">
        <f t="shared" si="17"/>
        <v>4.1167876672897837E-5</v>
      </c>
    </row>
    <row r="140" spans="1:17">
      <c r="A140" s="1" t="s">
        <v>162</v>
      </c>
      <c r="B140" s="1" t="s">
        <v>17</v>
      </c>
      <c r="C140" s="1" t="s">
        <v>29</v>
      </c>
      <c r="D140" s="1" t="s">
        <v>391</v>
      </c>
      <c r="E140" s="1">
        <v>47525</v>
      </c>
      <c r="F140" s="1">
        <v>62279</v>
      </c>
      <c r="G140" s="1">
        <f t="shared" si="14"/>
        <v>109804</v>
      </c>
      <c r="H140" s="1">
        <v>57294</v>
      </c>
      <c r="I140" s="1">
        <v>20</v>
      </c>
      <c r="J140" s="1">
        <v>19</v>
      </c>
      <c r="K140" s="1">
        <f t="shared" si="20"/>
        <v>1088586</v>
      </c>
      <c r="L140" s="1">
        <v>10</v>
      </c>
      <c r="M140" s="1">
        <f t="shared" si="18"/>
        <v>515646</v>
      </c>
      <c r="N140" s="1">
        <f t="shared" si="19"/>
        <v>405842</v>
      </c>
      <c r="O140" s="4">
        <f t="shared" si="15"/>
        <v>0.78705546052912267</v>
      </c>
      <c r="P140" s="4">
        <f t="shared" si="16"/>
        <v>111.11111111111111</v>
      </c>
      <c r="Q140" s="4">
        <f t="shared" si="17"/>
        <v>1.8372457481540274E-3</v>
      </c>
    </row>
    <row r="141" spans="1:17">
      <c r="A141" s="1" t="s">
        <v>163</v>
      </c>
      <c r="B141" s="1" t="s">
        <v>14</v>
      </c>
      <c r="C141" s="1" t="s">
        <v>29</v>
      </c>
      <c r="D141" s="1" t="s">
        <v>392</v>
      </c>
      <c r="E141" s="1">
        <v>18349</v>
      </c>
      <c r="F141" s="1">
        <v>121081</v>
      </c>
      <c r="G141" s="1">
        <f t="shared" si="14"/>
        <v>139430</v>
      </c>
      <c r="H141" s="1">
        <v>39768</v>
      </c>
      <c r="I141" s="1">
        <v>10</v>
      </c>
      <c r="J141" s="1">
        <v>98</v>
      </c>
      <c r="K141" s="1">
        <f t="shared" si="20"/>
        <v>3897264</v>
      </c>
      <c r="L141" s="1">
        <v>26</v>
      </c>
      <c r="M141" s="1">
        <f t="shared" si="18"/>
        <v>2863296</v>
      </c>
      <c r="N141" s="1">
        <f t="shared" si="19"/>
        <v>2723866</v>
      </c>
      <c r="O141" s="4">
        <f t="shared" si="15"/>
        <v>0.95130437090681508</v>
      </c>
      <c r="P141" s="4">
        <f t="shared" si="16"/>
        <v>36.111111111111107</v>
      </c>
      <c r="Q141" s="4">
        <f t="shared" si="17"/>
        <v>2.5659026434955397E-4</v>
      </c>
    </row>
    <row r="142" spans="1:17">
      <c r="A142" s="1" t="s">
        <v>164</v>
      </c>
      <c r="B142" s="1" t="s">
        <v>17</v>
      </c>
      <c r="C142" s="1" t="s">
        <v>15</v>
      </c>
      <c r="D142" s="1" t="s">
        <v>391</v>
      </c>
      <c r="E142" s="1">
        <v>45694</v>
      </c>
      <c r="F142" s="1">
        <v>121144</v>
      </c>
      <c r="G142" s="1">
        <f t="shared" si="14"/>
        <v>166838</v>
      </c>
      <c r="H142" s="1">
        <v>78432</v>
      </c>
      <c r="I142" s="1">
        <v>15</v>
      </c>
      <c r="J142" s="1">
        <v>106</v>
      </c>
      <c r="K142" s="1">
        <f t="shared" si="20"/>
        <v>8313792</v>
      </c>
      <c r="L142" s="1">
        <v>4</v>
      </c>
      <c r="M142" s="1">
        <f t="shared" si="18"/>
        <v>8000064</v>
      </c>
      <c r="N142" s="1">
        <f t="shared" si="19"/>
        <v>7833226</v>
      </c>
      <c r="O142" s="4">
        <f t="shared" si="15"/>
        <v>0.97914541683666534</v>
      </c>
      <c r="P142" s="4">
        <f t="shared" si="16"/>
        <v>3.9215686274509802</v>
      </c>
      <c r="Q142" s="4">
        <f t="shared" si="17"/>
        <v>1.8042308491720747E-4</v>
      </c>
    </row>
    <row r="143" spans="1:17">
      <c r="A143" s="1" t="s">
        <v>165</v>
      </c>
      <c r="B143" s="1" t="s">
        <v>20</v>
      </c>
      <c r="C143" s="1" t="s">
        <v>29</v>
      </c>
      <c r="D143" s="1" t="s">
        <v>392</v>
      </c>
      <c r="E143" s="1">
        <v>15183</v>
      </c>
      <c r="F143" s="1">
        <v>261342</v>
      </c>
      <c r="G143" s="1">
        <f t="shared" si="14"/>
        <v>276525</v>
      </c>
      <c r="H143" s="1">
        <v>63940</v>
      </c>
      <c r="I143" s="1">
        <v>10</v>
      </c>
      <c r="J143" s="1">
        <v>74</v>
      </c>
      <c r="K143" s="1">
        <f t="shared" si="20"/>
        <v>4731560</v>
      </c>
      <c r="L143" s="1">
        <v>32</v>
      </c>
      <c r="M143" s="1">
        <f t="shared" si="18"/>
        <v>2685480</v>
      </c>
      <c r="N143" s="1">
        <f t="shared" si="19"/>
        <v>2408955</v>
      </c>
      <c r="O143" s="4">
        <f t="shared" si="15"/>
        <v>0.89702958130390098</v>
      </c>
      <c r="P143" s="4">
        <f t="shared" si="16"/>
        <v>76.19047619047619</v>
      </c>
      <c r="Q143" s="4">
        <f t="shared" si="17"/>
        <v>2.1134678626076811E-4</v>
      </c>
    </row>
    <row r="144" spans="1:17">
      <c r="A144" s="1" t="s">
        <v>166</v>
      </c>
      <c r="B144" s="1" t="s">
        <v>14</v>
      </c>
      <c r="C144" s="1" t="s">
        <v>18</v>
      </c>
      <c r="D144" s="1" t="s">
        <v>391</v>
      </c>
      <c r="E144" s="1">
        <v>34145</v>
      </c>
      <c r="F144" s="1">
        <v>50196</v>
      </c>
      <c r="G144" s="1">
        <f t="shared" si="14"/>
        <v>84341</v>
      </c>
      <c r="H144" s="1">
        <v>29577</v>
      </c>
      <c r="I144" s="1">
        <v>15</v>
      </c>
      <c r="J144" s="1">
        <v>58</v>
      </c>
      <c r="K144" s="1">
        <f t="shared" si="20"/>
        <v>1715466</v>
      </c>
      <c r="L144" s="1">
        <v>4</v>
      </c>
      <c r="M144" s="1">
        <f t="shared" si="18"/>
        <v>1597158</v>
      </c>
      <c r="N144" s="1">
        <f t="shared" si="19"/>
        <v>1512817</v>
      </c>
      <c r="O144" s="4">
        <f t="shared" si="15"/>
        <v>0.94719307670249275</v>
      </c>
      <c r="P144" s="4">
        <f t="shared" si="16"/>
        <v>7.4074074074074066</v>
      </c>
      <c r="Q144" s="4">
        <f t="shared" si="17"/>
        <v>8.7439797699284043E-4</v>
      </c>
    </row>
    <row r="145" spans="1:17">
      <c r="A145" s="1" t="s">
        <v>167</v>
      </c>
      <c r="B145" s="1" t="s">
        <v>17</v>
      </c>
      <c r="C145" s="1" t="s">
        <v>29</v>
      </c>
      <c r="D145" s="1" t="s">
        <v>392</v>
      </c>
      <c r="E145" s="1">
        <v>15502</v>
      </c>
      <c r="F145" s="1">
        <v>95401</v>
      </c>
      <c r="G145" s="1">
        <f t="shared" si="14"/>
        <v>110903</v>
      </c>
      <c r="H145" s="1">
        <v>40053</v>
      </c>
      <c r="I145" s="1">
        <v>20</v>
      </c>
      <c r="J145" s="1">
        <v>65</v>
      </c>
      <c r="K145" s="1">
        <f t="shared" si="20"/>
        <v>2603445</v>
      </c>
      <c r="L145" s="1">
        <v>0</v>
      </c>
      <c r="M145" s="1">
        <f t="shared" si="18"/>
        <v>2603445</v>
      </c>
      <c r="N145" s="1">
        <f t="shared" si="19"/>
        <v>2492542</v>
      </c>
      <c r="O145" s="4">
        <f t="shared" si="15"/>
        <v>0.95740144308790853</v>
      </c>
      <c r="P145" s="4">
        <f t="shared" si="16"/>
        <v>0</v>
      </c>
      <c r="Q145" s="4">
        <f t="shared" si="17"/>
        <v>7.6821288715528846E-4</v>
      </c>
    </row>
    <row r="146" spans="1:17">
      <c r="A146" s="1" t="s">
        <v>168</v>
      </c>
      <c r="B146" s="1" t="s">
        <v>26</v>
      </c>
      <c r="C146" s="1" t="s">
        <v>15</v>
      </c>
      <c r="D146" s="1" t="s">
        <v>392</v>
      </c>
      <c r="E146" s="1">
        <v>14012</v>
      </c>
      <c r="F146" s="1">
        <v>117254</v>
      </c>
      <c r="G146" s="1">
        <f t="shared" si="14"/>
        <v>131266</v>
      </c>
      <c r="H146" s="1">
        <v>63523</v>
      </c>
      <c r="I146" s="1">
        <v>20</v>
      </c>
      <c r="J146" s="1">
        <v>88</v>
      </c>
      <c r="K146" s="1">
        <f t="shared" si="20"/>
        <v>5590024</v>
      </c>
      <c r="L146" s="1">
        <v>24</v>
      </c>
      <c r="M146" s="1">
        <f t="shared" si="18"/>
        <v>4065472</v>
      </c>
      <c r="N146" s="1">
        <f t="shared" si="19"/>
        <v>3934206</v>
      </c>
      <c r="O146" s="4">
        <f t="shared" si="15"/>
        <v>0.96771199014530174</v>
      </c>
      <c r="P146" s="4">
        <f t="shared" si="16"/>
        <v>37.5</v>
      </c>
      <c r="Q146" s="4">
        <f t="shared" si="17"/>
        <v>3.5778021704379085E-4</v>
      </c>
    </row>
    <row r="147" spans="1:17">
      <c r="A147" s="1" t="s">
        <v>169</v>
      </c>
      <c r="B147" s="1" t="s">
        <v>14</v>
      </c>
      <c r="C147" s="1" t="s">
        <v>29</v>
      </c>
      <c r="D147" s="1" t="s">
        <v>391</v>
      </c>
      <c r="E147" s="1">
        <v>27124</v>
      </c>
      <c r="F147" s="1">
        <v>306671</v>
      </c>
      <c r="G147" s="1">
        <f t="shared" si="14"/>
        <v>333795</v>
      </c>
      <c r="H147" s="1">
        <v>38531</v>
      </c>
      <c r="I147" s="1">
        <v>20</v>
      </c>
      <c r="J147" s="1">
        <v>103</v>
      </c>
      <c r="K147" s="1">
        <f t="shared" si="20"/>
        <v>3968693</v>
      </c>
      <c r="L147" s="1">
        <v>14</v>
      </c>
      <c r="M147" s="1">
        <f t="shared" si="18"/>
        <v>3429259</v>
      </c>
      <c r="N147" s="1">
        <f t="shared" si="19"/>
        <v>3095464</v>
      </c>
      <c r="O147" s="4">
        <f t="shared" si="15"/>
        <v>0.90266264519536143</v>
      </c>
      <c r="P147" s="4">
        <f t="shared" si="16"/>
        <v>15.730337078651685</v>
      </c>
      <c r="Q147" s="4">
        <f t="shared" si="17"/>
        <v>5.0394424562444113E-4</v>
      </c>
    </row>
    <row r="148" spans="1:17">
      <c r="A148" s="1" t="s">
        <v>170</v>
      </c>
      <c r="B148" s="1" t="s">
        <v>20</v>
      </c>
      <c r="C148" s="1" t="s">
        <v>15</v>
      </c>
      <c r="D148" s="1" t="s">
        <v>392</v>
      </c>
      <c r="E148" s="1">
        <v>20651</v>
      </c>
      <c r="F148" s="1">
        <v>208026</v>
      </c>
      <c r="G148" s="1">
        <f t="shared" si="14"/>
        <v>228677</v>
      </c>
      <c r="H148" s="1">
        <v>78679</v>
      </c>
      <c r="I148" s="1">
        <v>0</v>
      </c>
      <c r="J148" s="1">
        <v>135</v>
      </c>
      <c r="K148" s="1">
        <f t="shared" si="20"/>
        <v>10621665</v>
      </c>
      <c r="L148" s="1">
        <v>31</v>
      </c>
      <c r="M148" s="1">
        <f t="shared" si="18"/>
        <v>8182616</v>
      </c>
      <c r="N148" s="1">
        <f t="shared" si="19"/>
        <v>7953939</v>
      </c>
      <c r="O148" s="4">
        <f t="shared" si="15"/>
        <v>0.97205331400129247</v>
      </c>
      <c r="P148" s="4">
        <f t="shared" si="16"/>
        <v>29.807692307692307</v>
      </c>
      <c r="Q148" s="4">
        <f t="shared" si="17"/>
        <v>0</v>
      </c>
    </row>
    <row r="149" spans="1:17">
      <c r="A149" s="1" t="s">
        <v>171</v>
      </c>
      <c r="B149" s="1" t="s">
        <v>20</v>
      </c>
      <c r="C149" s="1" t="s">
        <v>21</v>
      </c>
      <c r="D149" s="1" t="s">
        <v>391</v>
      </c>
      <c r="E149" s="1">
        <v>22395</v>
      </c>
      <c r="F149" s="1">
        <v>87948</v>
      </c>
      <c r="G149" s="1">
        <f t="shared" si="14"/>
        <v>110343</v>
      </c>
      <c r="H149" s="1">
        <v>74904</v>
      </c>
      <c r="I149" s="1">
        <v>5</v>
      </c>
      <c r="J149" s="1">
        <v>89</v>
      </c>
      <c r="K149" s="1">
        <f t="shared" si="20"/>
        <v>6666456</v>
      </c>
      <c r="L149" s="1">
        <v>20</v>
      </c>
      <c r="M149" s="1">
        <f t="shared" si="18"/>
        <v>5168376</v>
      </c>
      <c r="N149" s="1">
        <f t="shared" si="19"/>
        <v>5058033</v>
      </c>
      <c r="O149" s="4">
        <f t="shared" si="15"/>
        <v>0.97865035361204367</v>
      </c>
      <c r="P149" s="4">
        <f t="shared" si="16"/>
        <v>28.985507246376812</v>
      </c>
      <c r="Q149" s="4">
        <f t="shared" si="17"/>
        <v>7.5002370074894365E-5</v>
      </c>
    </row>
    <row r="150" spans="1:17">
      <c r="A150" s="1" t="s">
        <v>172</v>
      </c>
      <c r="B150" s="1" t="s">
        <v>20</v>
      </c>
      <c r="C150" s="1" t="s">
        <v>38</v>
      </c>
      <c r="D150" s="1" t="s">
        <v>391</v>
      </c>
      <c r="E150" s="1">
        <v>22869</v>
      </c>
      <c r="F150" s="1">
        <v>116750</v>
      </c>
      <c r="G150" s="1">
        <f t="shared" si="14"/>
        <v>139619</v>
      </c>
      <c r="H150" s="1">
        <v>25722</v>
      </c>
      <c r="I150" s="1">
        <v>0</v>
      </c>
      <c r="J150" s="1">
        <v>70</v>
      </c>
      <c r="K150" s="1">
        <f t="shared" si="20"/>
        <v>1800540</v>
      </c>
      <c r="L150" s="1">
        <v>13</v>
      </c>
      <c r="M150" s="1">
        <f t="shared" si="18"/>
        <v>1466154</v>
      </c>
      <c r="N150" s="1">
        <f t="shared" si="19"/>
        <v>1326535</v>
      </c>
      <c r="O150" s="4">
        <f t="shared" si="15"/>
        <v>0.90477194073746692</v>
      </c>
      <c r="P150" s="4">
        <f t="shared" si="16"/>
        <v>22.807017543859647</v>
      </c>
      <c r="Q150" s="4">
        <f t="shared" si="17"/>
        <v>0</v>
      </c>
    </row>
    <row r="151" spans="1:17">
      <c r="A151" s="1" t="s">
        <v>173</v>
      </c>
      <c r="B151" s="1" t="s">
        <v>17</v>
      </c>
      <c r="C151" s="1" t="s">
        <v>29</v>
      </c>
      <c r="D151" s="1" t="s">
        <v>392</v>
      </c>
      <c r="E151" s="1">
        <v>11025</v>
      </c>
      <c r="F151" s="1">
        <v>198126</v>
      </c>
      <c r="G151" s="1">
        <f t="shared" si="14"/>
        <v>209151</v>
      </c>
      <c r="H151" s="1">
        <v>44901</v>
      </c>
      <c r="I151" s="1">
        <v>20</v>
      </c>
      <c r="J151" s="1">
        <v>50</v>
      </c>
      <c r="K151" s="1">
        <f t="shared" si="20"/>
        <v>2245050</v>
      </c>
      <c r="L151" s="1">
        <v>34</v>
      </c>
      <c r="M151" s="1">
        <f t="shared" si="18"/>
        <v>718416</v>
      </c>
      <c r="N151" s="1">
        <f t="shared" si="19"/>
        <v>509265</v>
      </c>
      <c r="O151" s="4">
        <f t="shared" si="15"/>
        <v>0.70887201844056924</v>
      </c>
      <c r="P151" s="4">
        <f t="shared" si="16"/>
        <v>212.5</v>
      </c>
      <c r="Q151" s="4">
        <f t="shared" si="17"/>
        <v>8.9084875615242417E-4</v>
      </c>
    </row>
    <row r="152" spans="1:17">
      <c r="A152" s="1" t="s">
        <v>174</v>
      </c>
      <c r="B152" s="1" t="s">
        <v>20</v>
      </c>
      <c r="C152" s="1" t="s">
        <v>29</v>
      </c>
      <c r="D152" s="1" t="s">
        <v>392</v>
      </c>
      <c r="E152" s="1">
        <v>11159</v>
      </c>
      <c r="F152" s="1">
        <v>320995</v>
      </c>
      <c r="G152" s="1">
        <f t="shared" si="14"/>
        <v>332154</v>
      </c>
      <c r="H152" s="1">
        <v>64219</v>
      </c>
      <c r="I152" s="1">
        <v>5</v>
      </c>
      <c r="J152" s="1">
        <v>49</v>
      </c>
      <c r="K152" s="1">
        <f t="shared" si="20"/>
        <v>3146731</v>
      </c>
      <c r="L152" s="1">
        <v>3</v>
      </c>
      <c r="M152" s="1">
        <f t="shared" si="18"/>
        <v>2954074</v>
      </c>
      <c r="N152" s="1">
        <f t="shared" si="19"/>
        <v>2621920</v>
      </c>
      <c r="O152" s="4">
        <f t="shared" si="15"/>
        <v>0.88756070430192335</v>
      </c>
      <c r="P152" s="4">
        <f t="shared" si="16"/>
        <v>6.5217391304347823</v>
      </c>
      <c r="Q152" s="4">
        <f t="shared" si="17"/>
        <v>1.5889505648878152E-4</v>
      </c>
    </row>
    <row r="153" spans="1:17">
      <c r="A153" s="1" t="s">
        <v>175</v>
      </c>
      <c r="B153" s="1" t="s">
        <v>17</v>
      </c>
      <c r="C153" s="1" t="s">
        <v>29</v>
      </c>
      <c r="D153" s="1" t="s">
        <v>392</v>
      </c>
      <c r="E153" s="1">
        <v>9515</v>
      </c>
      <c r="F153" s="1">
        <v>194379</v>
      </c>
      <c r="G153" s="1">
        <f t="shared" si="14"/>
        <v>203894</v>
      </c>
      <c r="H153" s="1">
        <v>31360</v>
      </c>
      <c r="I153" s="1">
        <v>10</v>
      </c>
      <c r="J153" s="1">
        <v>77</v>
      </c>
      <c r="K153" s="1">
        <f t="shared" si="20"/>
        <v>2414720</v>
      </c>
      <c r="L153" s="1">
        <v>20</v>
      </c>
      <c r="M153" s="1">
        <f t="shared" si="18"/>
        <v>1787520</v>
      </c>
      <c r="N153" s="1">
        <f t="shared" si="19"/>
        <v>1583626</v>
      </c>
      <c r="O153" s="4">
        <f t="shared" si="15"/>
        <v>0.88593470282849984</v>
      </c>
      <c r="P153" s="4">
        <f t="shared" si="16"/>
        <v>35.087719298245609</v>
      </c>
      <c r="Q153" s="4">
        <f t="shared" si="17"/>
        <v>4.1412668963689367E-4</v>
      </c>
    </row>
    <row r="154" spans="1:17">
      <c r="A154" s="1" t="s">
        <v>176</v>
      </c>
      <c r="B154" s="1" t="s">
        <v>14</v>
      </c>
      <c r="C154" s="1" t="s">
        <v>18</v>
      </c>
      <c r="D154" s="1" t="s">
        <v>391</v>
      </c>
      <c r="E154" s="1">
        <v>10885</v>
      </c>
      <c r="F154" s="1">
        <v>126475</v>
      </c>
      <c r="G154" s="1">
        <f t="shared" si="14"/>
        <v>137360</v>
      </c>
      <c r="H154" s="1">
        <v>26595</v>
      </c>
      <c r="I154" s="1">
        <v>10</v>
      </c>
      <c r="J154" s="1">
        <v>46</v>
      </c>
      <c r="K154" s="1">
        <f t="shared" si="20"/>
        <v>1223370</v>
      </c>
      <c r="L154" s="1">
        <v>1</v>
      </c>
      <c r="M154" s="1">
        <f t="shared" si="18"/>
        <v>1196775</v>
      </c>
      <c r="N154" s="1">
        <f t="shared" si="19"/>
        <v>1059415</v>
      </c>
      <c r="O154" s="4">
        <f t="shared" si="15"/>
        <v>0.88522487518539406</v>
      </c>
      <c r="P154" s="4">
        <f t="shared" si="16"/>
        <v>2.2222222222222223</v>
      </c>
      <c r="Q154" s="4">
        <f t="shared" si="17"/>
        <v>8.1741419194520054E-4</v>
      </c>
    </row>
    <row r="155" spans="1:17">
      <c r="A155" s="1" t="s">
        <v>177</v>
      </c>
      <c r="B155" s="1" t="s">
        <v>26</v>
      </c>
      <c r="C155" s="1" t="s">
        <v>29</v>
      </c>
      <c r="D155" s="1" t="s">
        <v>392</v>
      </c>
      <c r="E155" s="1">
        <v>22490</v>
      </c>
      <c r="F155" s="1">
        <v>138590</v>
      </c>
      <c r="G155" s="1">
        <f t="shared" si="14"/>
        <v>161080</v>
      </c>
      <c r="H155" s="1">
        <v>67026</v>
      </c>
      <c r="I155" s="1">
        <v>15</v>
      </c>
      <c r="J155" s="1">
        <v>143</v>
      </c>
      <c r="K155" s="1">
        <f t="shared" si="20"/>
        <v>9584718</v>
      </c>
      <c r="L155" s="1">
        <v>34</v>
      </c>
      <c r="M155" s="1">
        <f t="shared" si="18"/>
        <v>7305834</v>
      </c>
      <c r="N155" s="1">
        <f t="shared" si="19"/>
        <v>7144754</v>
      </c>
      <c r="O155" s="4">
        <f t="shared" si="15"/>
        <v>0.97795186696002123</v>
      </c>
      <c r="P155" s="4">
        <f t="shared" si="16"/>
        <v>31.192660550458719</v>
      </c>
      <c r="Q155" s="4">
        <f t="shared" si="17"/>
        <v>1.5649912704786932E-4</v>
      </c>
    </row>
    <row r="156" spans="1:17">
      <c r="A156" s="1" t="s">
        <v>178</v>
      </c>
      <c r="B156" s="1" t="s">
        <v>14</v>
      </c>
      <c r="C156" s="1" t="s">
        <v>29</v>
      </c>
      <c r="D156" s="1" t="s">
        <v>393</v>
      </c>
      <c r="E156" s="1">
        <v>15190</v>
      </c>
      <c r="F156" s="1">
        <v>220680</v>
      </c>
      <c r="G156" s="1">
        <f t="shared" si="14"/>
        <v>235870</v>
      </c>
      <c r="H156" s="1">
        <v>21333</v>
      </c>
      <c r="I156" s="1">
        <v>10</v>
      </c>
      <c r="J156" s="1">
        <v>82</v>
      </c>
      <c r="K156" s="1">
        <f t="shared" si="20"/>
        <v>1749306</v>
      </c>
      <c r="L156" s="1">
        <v>17</v>
      </c>
      <c r="M156" s="1">
        <f t="shared" si="18"/>
        <v>1386645</v>
      </c>
      <c r="N156" s="1">
        <f t="shared" si="19"/>
        <v>1150775</v>
      </c>
      <c r="O156" s="4">
        <f t="shared" si="15"/>
        <v>0.8298987844761998</v>
      </c>
      <c r="P156" s="4">
        <f t="shared" si="16"/>
        <v>26.153846153846157</v>
      </c>
      <c r="Q156" s="4">
        <f t="shared" si="17"/>
        <v>5.7165527357706434E-4</v>
      </c>
    </row>
    <row r="157" spans="1:17">
      <c r="A157" s="1" t="s">
        <v>179</v>
      </c>
      <c r="B157" s="1" t="s">
        <v>14</v>
      </c>
      <c r="C157" s="1" t="s">
        <v>29</v>
      </c>
      <c r="D157" s="1" t="s">
        <v>392</v>
      </c>
      <c r="E157" s="1">
        <v>27917</v>
      </c>
      <c r="F157" s="1">
        <v>342735</v>
      </c>
      <c r="G157" s="1">
        <f t="shared" si="14"/>
        <v>370652</v>
      </c>
      <c r="H157" s="1">
        <v>62239</v>
      </c>
      <c r="I157" s="1">
        <v>5</v>
      </c>
      <c r="J157" s="1">
        <v>104</v>
      </c>
      <c r="K157" s="1">
        <f t="shared" si="20"/>
        <v>6472856</v>
      </c>
      <c r="L157" s="1">
        <v>27</v>
      </c>
      <c r="M157" s="1">
        <f t="shared" si="18"/>
        <v>4792403</v>
      </c>
      <c r="N157" s="1">
        <f t="shared" si="19"/>
        <v>4421751</v>
      </c>
      <c r="O157" s="4">
        <f t="shared" si="15"/>
        <v>0.9226584241767648</v>
      </c>
      <c r="P157" s="4">
        <f t="shared" si="16"/>
        <v>35.064935064935064</v>
      </c>
      <c r="Q157" s="4">
        <f t="shared" si="17"/>
        <v>7.7245654777427451E-5</v>
      </c>
    </row>
    <row r="158" spans="1:17">
      <c r="A158" s="1" t="s">
        <v>180</v>
      </c>
      <c r="B158" s="1" t="s">
        <v>17</v>
      </c>
      <c r="C158" s="1" t="s">
        <v>18</v>
      </c>
      <c r="D158" s="1" t="s">
        <v>392</v>
      </c>
      <c r="E158" s="1">
        <v>45503</v>
      </c>
      <c r="F158" s="1">
        <v>56355</v>
      </c>
      <c r="G158" s="1">
        <f t="shared" si="14"/>
        <v>101858</v>
      </c>
      <c r="H158" s="1">
        <v>37693</v>
      </c>
      <c r="I158" s="1">
        <v>10</v>
      </c>
      <c r="J158" s="1">
        <v>80</v>
      </c>
      <c r="K158" s="1">
        <f t="shared" si="20"/>
        <v>3015440</v>
      </c>
      <c r="L158" s="1">
        <v>27</v>
      </c>
      <c r="M158" s="1">
        <f t="shared" si="18"/>
        <v>1997729</v>
      </c>
      <c r="N158" s="1">
        <f t="shared" si="19"/>
        <v>1895871</v>
      </c>
      <c r="O158" s="4">
        <f t="shared" si="15"/>
        <v>0.94901310438002351</v>
      </c>
      <c r="P158" s="4">
        <f t="shared" si="16"/>
        <v>50.943396226415096</v>
      </c>
      <c r="Q158" s="4">
        <f t="shared" si="17"/>
        <v>3.3162656196110684E-4</v>
      </c>
    </row>
    <row r="159" spans="1:17">
      <c r="A159" s="1" t="s">
        <v>181</v>
      </c>
      <c r="B159" s="1" t="s">
        <v>14</v>
      </c>
      <c r="C159" s="1" t="s">
        <v>122</v>
      </c>
      <c r="D159" s="1" t="s">
        <v>392</v>
      </c>
      <c r="E159" s="1">
        <v>23577</v>
      </c>
      <c r="F159" s="1">
        <v>123454</v>
      </c>
      <c r="G159" s="1">
        <f t="shared" si="14"/>
        <v>147031</v>
      </c>
      <c r="H159" s="1">
        <v>33766</v>
      </c>
      <c r="I159" s="1">
        <v>20</v>
      </c>
      <c r="J159" s="1">
        <v>40</v>
      </c>
      <c r="K159" s="1">
        <f t="shared" si="20"/>
        <v>1350640</v>
      </c>
      <c r="L159" s="1">
        <v>25</v>
      </c>
      <c r="M159" s="1">
        <f t="shared" si="18"/>
        <v>506490</v>
      </c>
      <c r="N159" s="1">
        <f t="shared" si="19"/>
        <v>359459</v>
      </c>
      <c r="O159" s="4">
        <f t="shared" si="15"/>
        <v>0.70970601591344351</v>
      </c>
      <c r="P159" s="4">
        <f t="shared" si="16"/>
        <v>166.66666666666669</v>
      </c>
      <c r="Q159" s="4">
        <f t="shared" si="17"/>
        <v>1.4807794823194931E-3</v>
      </c>
    </row>
    <row r="160" spans="1:17">
      <c r="A160" s="1" t="s">
        <v>182</v>
      </c>
      <c r="B160" s="1" t="s">
        <v>20</v>
      </c>
      <c r="C160" s="1" t="s">
        <v>15</v>
      </c>
      <c r="D160" s="1" t="s">
        <v>391</v>
      </c>
      <c r="E160" s="1">
        <v>18605</v>
      </c>
      <c r="F160" s="1">
        <v>155244</v>
      </c>
      <c r="G160" s="1">
        <f t="shared" si="14"/>
        <v>173849</v>
      </c>
      <c r="H160" s="1">
        <v>30181</v>
      </c>
      <c r="I160" s="1">
        <v>20</v>
      </c>
      <c r="J160" s="1">
        <v>112</v>
      </c>
      <c r="K160" s="1">
        <f t="shared" si="20"/>
        <v>3380272</v>
      </c>
      <c r="L160" s="1">
        <v>38</v>
      </c>
      <c r="M160" s="1">
        <f t="shared" si="18"/>
        <v>2233394</v>
      </c>
      <c r="N160" s="1">
        <f t="shared" si="19"/>
        <v>2059545</v>
      </c>
      <c r="O160" s="4">
        <f t="shared" si="15"/>
        <v>0.92215927865840064</v>
      </c>
      <c r="P160" s="4">
        <f t="shared" si="16"/>
        <v>51.351351351351347</v>
      </c>
      <c r="Q160" s="4">
        <f t="shared" si="17"/>
        <v>5.9166836278263992E-4</v>
      </c>
    </row>
    <row r="161" spans="1:17">
      <c r="A161" s="1" t="s">
        <v>183</v>
      </c>
      <c r="B161" s="1" t="s">
        <v>20</v>
      </c>
      <c r="C161" s="1" t="s">
        <v>29</v>
      </c>
      <c r="D161" s="1" t="s">
        <v>392</v>
      </c>
      <c r="E161" s="1">
        <v>16210</v>
      </c>
      <c r="F161" s="1">
        <v>388326</v>
      </c>
      <c r="G161" s="1">
        <f t="shared" si="14"/>
        <v>404536</v>
      </c>
      <c r="H161" s="1">
        <v>82011</v>
      </c>
      <c r="I161" s="1">
        <v>15</v>
      </c>
      <c r="J161" s="1">
        <v>61</v>
      </c>
      <c r="K161" s="1">
        <f t="shared" si="20"/>
        <v>5002671</v>
      </c>
      <c r="L161" s="1">
        <v>27</v>
      </c>
      <c r="M161" s="1">
        <f t="shared" si="18"/>
        <v>2788374</v>
      </c>
      <c r="N161" s="1">
        <f t="shared" si="19"/>
        <v>2383838</v>
      </c>
      <c r="O161" s="4">
        <f t="shared" si="15"/>
        <v>0.85492046619284212</v>
      </c>
      <c r="P161" s="4">
        <f t="shared" si="16"/>
        <v>79.411764705882348</v>
      </c>
      <c r="Q161" s="4">
        <f t="shared" si="17"/>
        <v>2.998398255651831E-4</v>
      </c>
    </row>
    <row r="162" spans="1:17">
      <c r="A162" s="1" t="s">
        <v>184</v>
      </c>
      <c r="B162" s="1" t="s">
        <v>14</v>
      </c>
      <c r="C162" s="1" t="s">
        <v>18</v>
      </c>
      <c r="D162" s="1" t="s">
        <v>392</v>
      </c>
      <c r="E162" s="1">
        <v>47394</v>
      </c>
      <c r="F162" s="1">
        <v>322916</v>
      </c>
      <c r="G162" s="1">
        <f t="shared" si="14"/>
        <v>370310</v>
      </c>
      <c r="H162" s="1">
        <v>60954</v>
      </c>
      <c r="I162" s="1">
        <v>0</v>
      </c>
      <c r="J162" s="1">
        <v>24</v>
      </c>
      <c r="K162" s="1">
        <f t="shared" si="20"/>
        <v>1462896</v>
      </c>
      <c r="L162" s="1">
        <v>1</v>
      </c>
      <c r="M162" s="1">
        <f t="shared" si="18"/>
        <v>1401942</v>
      </c>
      <c r="N162" s="1">
        <f t="shared" si="19"/>
        <v>1031632</v>
      </c>
      <c r="O162" s="4">
        <f t="shared" si="15"/>
        <v>0.73585925808628316</v>
      </c>
      <c r="P162" s="4">
        <f t="shared" si="16"/>
        <v>4.3478260869565215</v>
      </c>
      <c r="Q162" s="4">
        <f t="shared" si="17"/>
        <v>0</v>
      </c>
    </row>
    <row r="163" spans="1:17">
      <c r="A163" s="1" t="s">
        <v>185</v>
      </c>
      <c r="B163" s="1" t="s">
        <v>14</v>
      </c>
      <c r="C163" s="1" t="s">
        <v>29</v>
      </c>
      <c r="D163" s="1" t="s">
        <v>392</v>
      </c>
      <c r="E163" s="1">
        <v>34604</v>
      </c>
      <c r="F163" s="1">
        <v>197615</v>
      </c>
      <c r="G163" s="1">
        <f t="shared" si="14"/>
        <v>232219</v>
      </c>
      <c r="H163" s="1">
        <v>48773</v>
      </c>
      <c r="I163" s="1">
        <v>10</v>
      </c>
      <c r="J163" s="1">
        <v>101</v>
      </c>
      <c r="K163" s="1">
        <f t="shared" si="20"/>
        <v>4926073</v>
      </c>
      <c r="L163" s="1">
        <v>2</v>
      </c>
      <c r="M163" s="1">
        <f t="shared" si="18"/>
        <v>4828527</v>
      </c>
      <c r="N163" s="1">
        <f t="shared" si="19"/>
        <v>4596308</v>
      </c>
      <c r="O163" s="4">
        <f t="shared" si="15"/>
        <v>0.95190686517855239</v>
      </c>
      <c r="P163" s="4">
        <f t="shared" si="16"/>
        <v>2.0202020202020203</v>
      </c>
      <c r="Q163" s="4">
        <f t="shared" si="17"/>
        <v>2.0300145775346815E-4</v>
      </c>
    </row>
    <row r="164" spans="1:17">
      <c r="A164" s="1" t="s">
        <v>186</v>
      </c>
      <c r="B164" s="1" t="s">
        <v>20</v>
      </c>
      <c r="C164" s="1" t="s">
        <v>15</v>
      </c>
      <c r="D164" s="1" t="s">
        <v>392</v>
      </c>
      <c r="E164" s="1">
        <v>14906</v>
      </c>
      <c r="F164" s="1">
        <v>143377</v>
      </c>
      <c r="G164" s="1">
        <f t="shared" si="14"/>
        <v>158283</v>
      </c>
      <c r="H164" s="1">
        <v>29247</v>
      </c>
      <c r="I164" s="1">
        <v>15</v>
      </c>
      <c r="J164" s="1">
        <v>31</v>
      </c>
      <c r="K164" s="1">
        <f t="shared" si="20"/>
        <v>906657</v>
      </c>
      <c r="L164" s="1">
        <v>33</v>
      </c>
      <c r="M164" s="1">
        <f t="shared" si="18"/>
        <v>-58494</v>
      </c>
      <c r="N164" s="1">
        <f t="shared" si="19"/>
        <v>-216777</v>
      </c>
      <c r="O164" s="4">
        <f t="shared" si="15"/>
        <v>-3.7059698430608266</v>
      </c>
      <c r="P164" s="4">
        <f t="shared" si="16"/>
        <v>-1650</v>
      </c>
      <c r="Q164" s="4">
        <f t="shared" si="17"/>
        <v>1.6544294038429086E-3</v>
      </c>
    </row>
    <row r="165" spans="1:17">
      <c r="A165" s="1" t="s">
        <v>187</v>
      </c>
      <c r="B165" s="1" t="s">
        <v>17</v>
      </c>
      <c r="C165" s="1" t="s">
        <v>18</v>
      </c>
      <c r="D165" s="1" t="s">
        <v>391</v>
      </c>
      <c r="E165" s="1">
        <v>16598</v>
      </c>
      <c r="F165" s="1">
        <v>123812</v>
      </c>
      <c r="G165" s="1">
        <f t="shared" si="14"/>
        <v>140410</v>
      </c>
      <c r="H165" s="1">
        <v>37615</v>
      </c>
      <c r="I165" s="1">
        <v>0</v>
      </c>
      <c r="J165" s="1">
        <v>60</v>
      </c>
      <c r="K165" s="1">
        <f t="shared" si="20"/>
        <v>2256900</v>
      </c>
      <c r="L165" s="1">
        <v>22</v>
      </c>
      <c r="M165" s="1">
        <f t="shared" si="18"/>
        <v>1429370</v>
      </c>
      <c r="N165" s="1">
        <f t="shared" si="19"/>
        <v>1288960</v>
      </c>
      <c r="O165" s="4">
        <f t="shared" si="15"/>
        <v>0.90176791173733883</v>
      </c>
      <c r="P165" s="4">
        <f t="shared" si="16"/>
        <v>57.894736842105267</v>
      </c>
      <c r="Q165" s="4">
        <f t="shared" si="17"/>
        <v>0</v>
      </c>
    </row>
    <row r="166" spans="1:17">
      <c r="A166" s="1" t="s">
        <v>188</v>
      </c>
      <c r="B166" s="1" t="s">
        <v>26</v>
      </c>
      <c r="C166" s="1" t="s">
        <v>18</v>
      </c>
      <c r="D166" s="1" t="s">
        <v>392</v>
      </c>
      <c r="E166" s="1">
        <v>15904</v>
      </c>
      <c r="F166" s="1">
        <v>194039</v>
      </c>
      <c r="G166" s="1">
        <f t="shared" si="14"/>
        <v>209943</v>
      </c>
      <c r="H166" s="1">
        <v>43494</v>
      </c>
      <c r="I166" s="1">
        <v>0</v>
      </c>
      <c r="J166" s="1">
        <v>91</v>
      </c>
      <c r="K166" s="1">
        <f t="shared" si="20"/>
        <v>3957954</v>
      </c>
      <c r="L166" s="1">
        <v>33</v>
      </c>
      <c r="M166" s="1">
        <f t="shared" si="18"/>
        <v>2522652</v>
      </c>
      <c r="N166" s="1">
        <f t="shared" si="19"/>
        <v>2312709</v>
      </c>
      <c r="O166" s="4">
        <f t="shared" si="15"/>
        <v>0.91677686815303894</v>
      </c>
      <c r="P166" s="4">
        <f t="shared" si="16"/>
        <v>56.896551724137936</v>
      </c>
      <c r="Q166" s="4">
        <f t="shared" si="17"/>
        <v>0</v>
      </c>
    </row>
    <row r="167" spans="1:17">
      <c r="A167" s="1" t="s">
        <v>189</v>
      </c>
      <c r="B167" s="1" t="s">
        <v>26</v>
      </c>
      <c r="C167" s="1" t="s">
        <v>74</v>
      </c>
      <c r="D167" s="1" t="s">
        <v>392</v>
      </c>
      <c r="E167" s="1">
        <v>18428</v>
      </c>
      <c r="F167" s="1">
        <v>182107</v>
      </c>
      <c r="G167" s="1">
        <f t="shared" si="14"/>
        <v>200535</v>
      </c>
      <c r="H167" s="1">
        <v>40208</v>
      </c>
      <c r="I167" s="1">
        <v>5</v>
      </c>
      <c r="J167" s="1">
        <v>92</v>
      </c>
      <c r="K167" s="1">
        <f t="shared" si="20"/>
        <v>3699136</v>
      </c>
      <c r="L167" s="1">
        <v>32</v>
      </c>
      <c r="M167" s="1">
        <f t="shared" si="18"/>
        <v>2412480</v>
      </c>
      <c r="N167" s="1">
        <f t="shared" si="19"/>
        <v>2211945</v>
      </c>
      <c r="O167" s="4">
        <f t="shared" si="15"/>
        <v>0.91687599482690008</v>
      </c>
      <c r="P167" s="4">
        <f t="shared" si="16"/>
        <v>53.333333333333336</v>
      </c>
      <c r="Q167" s="4">
        <f t="shared" si="17"/>
        <v>1.3516669838578522E-4</v>
      </c>
    </row>
    <row r="168" spans="1:17">
      <c r="A168" s="1" t="s">
        <v>190</v>
      </c>
      <c r="B168" s="1" t="s">
        <v>14</v>
      </c>
      <c r="C168" s="1" t="s">
        <v>29</v>
      </c>
      <c r="D168" s="1" t="s">
        <v>391</v>
      </c>
      <c r="E168" s="1">
        <v>19172</v>
      </c>
      <c r="F168" s="1">
        <v>80183</v>
      </c>
      <c r="G168" s="1">
        <f t="shared" si="14"/>
        <v>99355</v>
      </c>
      <c r="H168" s="1">
        <v>59513</v>
      </c>
      <c r="I168" s="1">
        <v>0</v>
      </c>
      <c r="J168" s="1">
        <v>114</v>
      </c>
      <c r="K168" s="1">
        <f t="shared" si="20"/>
        <v>6784482</v>
      </c>
      <c r="L168" s="1">
        <v>3</v>
      </c>
      <c r="M168" s="1">
        <f t="shared" si="18"/>
        <v>6605943</v>
      </c>
      <c r="N168" s="1">
        <f t="shared" si="19"/>
        <v>6506588</v>
      </c>
      <c r="O168" s="4">
        <f t="shared" si="15"/>
        <v>0.98495975517802681</v>
      </c>
      <c r="P168" s="4">
        <f t="shared" si="16"/>
        <v>2.7027027027027026</v>
      </c>
      <c r="Q168" s="4">
        <f t="shared" si="17"/>
        <v>0</v>
      </c>
    </row>
    <row r="169" spans="1:17">
      <c r="A169" s="1" t="s">
        <v>191</v>
      </c>
      <c r="B169" s="1" t="s">
        <v>26</v>
      </c>
      <c r="C169" s="1" t="s">
        <v>29</v>
      </c>
      <c r="D169" s="1" t="s">
        <v>393</v>
      </c>
      <c r="E169" s="1">
        <v>31755</v>
      </c>
      <c r="F169" s="1">
        <v>108783</v>
      </c>
      <c r="G169" s="1">
        <f t="shared" si="14"/>
        <v>140538</v>
      </c>
      <c r="H169" s="1">
        <v>82523</v>
      </c>
      <c r="I169" s="1">
        <v>0</v>
      </c>
      <c r="J169" s="1">
        <v>75</v>
      </c>
      <c r="K169" s="1">
        <f t="shared" si="20"/>
        <v>6189225</v>
      </c>
      <c r="L169" s="1">
        <v>10</v>
      </c>
      <c r="M169" s="1">
        <f t="shared" si="18"/>
        <v>5363995</v>
      </c>
      <c r="N169" s="1">
        <f t="shared" si="19"/>
        <v>5223457</v>
      </c>
      <c r="O169" s="4">
        <f t="shared" si="15"/>
        <v>0.9737997518640491</v>
      </c>
      <c r="P169" s="4">
        <f t="shared" si="16"/>
        <v>15.384615384615385</v>
      </c>
      <c r="Q169" s="4">
        <f t="shared" si="17"/>
        <v>0</v>
      </c>
    </row>
    <row r="170" spans="1:17">
      <c r="A170" s="1" t="s">
        <v>192</v>
      </c>
      <c r="B170" s="1" t="s">
        <v>17</v>
      </c>
      <c r="C170" s="1" t="s">
        <v>29</v>
      </c>
      <c r="D170" s="1" t="s">
        <v>393</v>
      </c>
      <c r="E170" s="1">
        <v>11493</v>
      </c>
      <c r="F170" s="1">
        <v>219851</v>
      </c>
      <c r="G170" s="1">
        <f t="shared" si="14"/>
        <v>231344</v>
      </c>
      <c r="H170" s="1">
        <v>25801</v>
      </c>
      <c r="I170" s="1">
        <v>20</v>
      </c>
      <c r="J170" s="1">
        <v>13</v>
      </c>
      <c r="K170" s="1">
        <f t="shared" si="20"/>
        <v>335413</v>
      </c>
      <c r="L170" s="1">
        <v>22</v>
      </c>
      <c r="M170" s="1">
        <f t="shared" si="18"/>
        <v>-232209</v>
      </c>
      <c r="N170" s="1">
        <f t="shared" si="19"/>
        <v>-463553</v>
      </c>
      <c r="O170" s="4">
        <f t="shared" si="15"/>
        <v>-1.9962749075186577</v>
      </c>
      <c r="P170" s="4">
        <f t="shared" si="16"/>
        <v>-244.44444444444446</v>
      </c>
      <c r="Q170" s="4">
        <f t="shared" si="17"/>
        <v>5.9627981026376441E-3</v>
      </c>
    </row>
    <row r="171" spans="1:17">
      <c r="A171" s="1" t="s">
        <v>193</v>
      </c>
      <c r="B171" s="1" t="s">
        <v>17</v>
      </c>
      <c r="C171" s="1" t="s">
        <v>18</v>
      </c>
      <c r="D171" s="1" t="s">
        <v>392</v>
      </c>
      <c r="E171" s="1">
        <v>26339</v>
      </c>
      <c r="F171" s="1">
        <v>169071</v>
      </c>
      <c r="G171" s="1">
        <f t="shared" si="14"/>
        <v>195410</v>
      </c>
      <c r="H171" s="1">
        <v>20592</v>
      </c>
      <c r="I171" s="1">
        <v>20</v>
      </c>
      <c r="J171" s="1">
        <v>80</v>
      </c>
      <c r="K171" s="1">
        <f t="shared" si="20"/>
        <v>1647360</v>
      </c>
      <c r="L171" s="1">
        <v>8</v>
      </c>
      <c r="M171" s="1">
        <f t="shared" si="18"/>
        <v>1482624</v>
      </c>
      <c r="N171" s="1">
        <f t="shared" si="19"/>
        <v>1287214</v>
      </c>
      <c r="O171" s="4">
        <f t="shared" si="15"/>
        <v>0.86819989424156085</v>
      </c>
      <c r="P171" s="4">
        <f t="shared" si="16"/>
        <v>11.111111111111111</v>
      </c>
      <c r="Q171" s="4">
        <f t="shared" si="17"/>
        <v>1.214063714063714E-3</v>
      </c>
    </row>
    <row r="172" spans="1:17">
      <c r="A172" s="1" t="s">
        <v>194</v>
      </c>
      <c r="B172" s="1" t="s">
        <v>20</v>
      </c>
      <c r="C172" s="1" t="s">
        <v>15</v>
      </c>
      <c r="D172" s="1" t="s">
        <v>392</v>
      </c>
      <c r="E172" s="1">
        <v>43838</v>
      </c>
      <c r="F172" s="1">
        <v>257580</v>
      </c>
      <c r="G172" s="1">
        <f t="shared" si="14"/>
        <v>301418</v>
      </c>
      <c r="H172" s="1">
        <v>10878</v>
      </c>
      <c r="I172" s="1">
        <v>15</v>
      </c>
      <c r="J172" s="1">
        <v>47</v>
      </c>
      <c r="K172" s="1">
        <f t="shared" si="20"/>
        <v>511266</v>
      </c>
      <c r="L172" s="1">
        <v>18</v>
      </c>
      <c r="M172" s="1">
        <f t="shared" si="18"/>
        <v>315462</v>
      </c>
      <c r="N172" s="1">
        <f t="shared" si="19"/>
        <v>14044</v>
      </c>
      <c r="O172" s="4">
        <f t="shared" si="15"/>
        <v>4.45188326961726E-2</v>
      </c>
      <c r="P172" s="4">
        <f t="shared" si="16"/>
        <v>62.068965517241381</v>
      </c>
      <c r="Q172" s="4">
        <f t="shared" si="17"/>
        <v>2.9338935114011102E-3</v>
      </c>
    </row>
    <row r="173" spans="1:17">
      <c r="A173" s="1" t="s">
        <v>195</v>
      </c>
      <c r="B173" s="1" t="s">
        <v>20</v>
      </c>
      <c r="C173" s="1" t="s">
        <v>21</v>
      </c>
      <c r="D173" s="1" t="s">
        <v>392</v>
      </c>
      <c r="E173" s="1">
        <v>38400</v>
      </c>
      <c r="F173" s="1">
        <v>346298</v>
      </c>
      <c r="G173" s="1">
        <f t="shared" si="14"/>
        <v>384698</v>
      </c>
      <c r="H173" s="1">
        <v>21058</v>
      </c>
      <c r="I173" s="1">
        <v>5</v>
      </c>
      <c r="J173" s="1">
        <v>53</v>
      </c>
      <c r="K173" s="1">
        <f t="shared" si="20"/>
        <v>1116074</v>
      </c>
      <c r="L173" s="1">
        <v>13</v>
      </c>
      <c r="M173" s="1">
        <f t="shared" si="18"/>
        <v>842320</v>
      </c>
      <c r="N173" s="1">
        <f t="shared" si="19"/>
        <v>457622</v>
      </c>
      <c r="O173" s="4">
        <f t="shared" si="15"/>
        <v>0.54328758666540033</v>
      </c>
      <c r="P173" s="4">
        <f t="shared" si="16"/>
        <v>32.5</v>
      </c>
      <c r="Q173" s="4">
        <f t="shared" si="17"/>
        <v>4.4799896781037813E-4</v>
      </c>
    </row>
    <row r="174" spans="1:17">
      <c r="A174" s="1" t="s">
        <v>196</v>
      </c>
      <c r="B174" s="1" t="s">
        <v>26</v>
      </c>
      <c r="C174" s="1" t="s">
        <v>15</v>
      </c>
      <c r="D174" s="1" t="s">
        <v>392</v>
      </c>
      <c r="E174" s="1">
        <v>48399</v>
      </c>
      <c r="F174" s="1">
        <v>211722</v>
      </c>
      <c r="G174" s="1">
        <f t="shared" si="14"/>
        <v>260121</v>
      </c>
      <c r="H174" s="1">
        <v>83907</v>
      </c>
      <c r="I174" s="1">
        <v>15</v>
      </c>
      <c r="J174" s="1">
        <v>39</v>
      </c>
      <c r="K174" s="1">
        <f t="shared" si="20"/>
        <v>3272373</v>
      </c>
      <c r="L174" s="1">
        <v>37</v>
      </c>
      <c r="M174" s="1">
        <f t="shared" si="18"/>
        <v>167814</v>
      </c>
      <c r="N174" s="1">
        <f t="shared" si="19"/>
        <v>-92307</v>
      </c>
      <c r="O174" s="4">
        <f t="shared" si="15"/>
        <v>-0.55005541849905248</v>
      </c>
      <c r="P174" s="4">
        <f t="shared" si="16"/>
        <v>1850</v>
      </c>
      <c r="Q174" s="4">
        <f t="shared" si="17"/>
        <v>4.5838295328802682E-4</v>
      </c>
    </row>
    <row r="175" spans="1:17">
      <c r="A175" s="1" t="s">
        <v>197</v>
      </c>
      <c r="B175" s="1" t="s">
        <v>20</v>
      </c>
      <c r="C175" s="1" t="s">
        <v>29</v>
      </c>
      <c r="D175" s="1" t="s">
        <v>394</v>
      </c>
      <c r="E175" s="1">
        <v>28495</v>
      </c>
      <c r="F175" s="1">
        <v>237098</v>
      </c>
      <c r="G175" s="1">
        <f t="shared" si="14"/>
        <v>265593</v>
      </c>
      <c r="H175" s="1">
        <v>72647</v>
      </c>
      <c r="I175" s="1">
        <v>20</v>
      </c>
      <c r="J175" s="1">
        <v>119</v>
      </c>
      <c r="K175" s="1">
        <f t="shared" si="20"/>
        <v>8644993</v>
      </c>
      <c r="L175" s="1">
        <v>9</v>
      </c>
      <c r="M175" s="1">
        <f t="shared" si="18"/>
        <v>7991170</v>
      </c>
      <c r="N175" s="1">
        <f t="shared" si="19"/>
        <v>7725577</v>
      </c>
      <c r="O175" s="4">
        <f t="shared" si="15"/>
        <v>0.96676419097578947</v>
      </c>
      <c r="P175" s="4">
        <f t="shared" si="16"/>
        <v>8.1818181818181817</v>
      </c>
      <c r="Q175" s="4">
        <f t="shared" si="17"/>
        <v>2.3134778709479583E-4</v>
      </c>
    </row>
    <row r="176" spans="1:17">
      <c r="A176" s="1" t="s">
        <v>198</v>
      </c>
      <c r="B176" s="1" t="s">
        <v>14</v>
      </c>
      <c r="C176" s="1" t="s">
        <v>15</v>
      </c>
      <c r="D176" s="1" t="s">
        <v>391</v>
      </c>
      <c r="E176" s="1">
        <v>21507</v>
      </c>
      <c r="F176" s="1">
        <v>344758</v>
      </c>
      <c r="G176" s="1">
        <f t="shared" si="14"/>
        <v>366265</v>
      </c>
      <c r="H176" s="1">
        <v>44906</v>
      </c>
      <c r="I176" s="1">
        <v>5</v>
      </c>
      <c r="J176" s="1">
        <v>5</v>
      </c>
      <c r="K176" s="1">
        <f t="shared" si="20"/>
        <v>224530</v>
      </c>
      <c r="L176" s="1">
        <v>26</v>
      </c>
      <c r="M176" s="1">
        <f t="shared" si="18"/>
        <v>-943026</v>
      </c>
      <c r="N176" s="1">
        <f t="shared" si="19"/>
        <v>-1309291</v>
      </c>
      <c r="O176" s="4">
        <f t="shared" si="15"/>
        <v>-1.3883933210749226</v>
      </c>
      <c r="P176" s="4">
        <f t="shared" si="16"/>
        <v>-123.80952380952381</v>
      </c>
      <c r="Q176" s="4">
        <f t="shared" si="17"/>
        <v>2.2268739143989666E-3</v>
      </c>
    </row>
    <row r="177" spans="1:17">
      <c r="A177" s="1" t="s">
        <v>199</v>
      </c>
      <c r="B177" s="1" t="s">
        <v>26</v>
      </c>
      <c r="C177" s="1" t="s">
        <v>18</v>
      </c>
      <c r="D177" s="1" t="s">
        <v>393</v>
      </c>
      <c r="E177" s="1">
        <v>20194</v>
      </c>
      <c r="F177" s="1">
        <v>249414</v>
      </c>
      <c r="G177" s="1">
        <f t="shared" si="14"/>
        <v>269608</v>
      </c>
      <c r="H177" s="1">
        <v>22857</v>
      </c>
      <c r="I177" s="1">
        <v>15</v>
      </c>
      <c r="J177" s="1">
        <v>86</v>
      </c>
      <c r="K177" s="1">
        <f t="shared" si="20"/>
        <v>1965702</v>
      </c>
      <c r="L177" s="1">
        <v>16</v>
      </c>
      <c r="M177" s="1">
        <f t="shared" si="18"/>
        <v>1599990</v>
      </c>
      <c r="N177" s="1">
        <f t="shared" si="19"/>
        <v>1330382</v>
      </c>
      <c r="O177" s="4">
        <f t="shared" si="15"/>
        <v>0.83149394683716771</v>
      </c>
      <c r="P177" s="4">
        <f t="shared" si="16"/>
        <v>22.857142857142858</v>
      </c>
      <c r="Q177" s="4">
        <f t="shared" si="17"/>
        <v>7.630861646373663E-4</v>
      </c>
    </row>
    <row r="178" spans="1:17">
      <c r="A178" s="1" t="s">
        <v>200</v>
      </c>
      <c r="B178" s="1" t="s">
        <v>17</v>
      </c>
      <c r="C178" s="1" t="s">
        <v>21</v>
      </c>
      <c r="D178" s="1" t="s">
        <v>392</v>
      </c>
      <c r="E178" s="1">
        <v>24546</v>
      </c>
      <c r="F178" s="1">
        <v>69035</v>
      </c>
      <c r="G178" s="1">
        <f t="shared" si="14"/>
        <v>93581</v>
      </c>
      <c r="H178" s="1">
        <v>45121</v>
      </c>
      <c r="I178" s="1">
        <v>10</v>
      </c>
      <c r="J178" s="1">
        <v>72</v>
      </c>
      <c r="K178" s="1">
        <f t="shared" si="20"/>
        <v>3248712</v>
      </c>
      <c r="L178" s="1">
        <v>27</v>
      </c>
      <c r="M178" s="1">
        <f t="shared" si="18"/>
        <v>2030445</v>
      </c>
      <c r="N178" s="1">
        <f t="shared" si="19"/>
        <v>1936864</v>
      </c>
      <c r="O178" s="4">
        <f t="shared" si="15"/>
        <v>0.95391108845597883</v>
      </c>
      <c r="P178" s="4">
        <f t="shared" si="16"/>
        <v>60</v>
      </c>
      <c r="Q178" s="4">
        <f t="shared" si="17"/>
        <v>3.0781429686595798E-4</v>
      </c>
    </row>
    <row r="179" spans="1:17">
      <c r="A179" s="1" t="s">
        <v>201</v>
      </c>
      <c r="B179" s="1" t="s">
        <v>20</v>
      </c>
      <c r="C179" s="1" t="s">
        <v>21</v>
      </c>
      <c r="D179" s="1" t="s">
        <v>392</v>
      </c>
      <c r="E179" s="1">
        <v>28817</v>
      </c>
      <c r="F179" s="1">
        <v>229488</v>
      </c>
      <c r="G179" s="1">
        <f t="shared" si="14"/>
        <v>258305</v>
      </c>
      <c r="H179" s="1">
        <v>26816</v>
      </c>
      <c r="I179" s="1">
        <v>10</v>
      </c>
      <c r="J179" s="1">
        <v>139</v>
      </c>
      <c r="K179" s="1">
        <f t="shared" si="20"/>
        <v>3727424</v>
      </c>
      <c r="L179" s="1">
        <v>13</v>
      </c>
      <c r="M179" s="1">
        <f t="shared" si="18"/>
        <v>3378816</v>
      </c>
      <c r="N179" s="1">
        <f t="shared" si="19"/>
        <v>3120511</v>
      </c>
      <c r="O179" s="4">
        <f t="shared" si="15"/>
        <v>0.92355162281698677</v>
      </c>
      <c r="P179" s="4">
        <f t="shared" si="16"/>
        <v>10.317460317460316</v>
      </c>
      <c r="Q179" s="4">
        <f t="shared" si="17"/>
        <v>2.6828179461204309E-4</v>
      </c>
    </row>
    <row r="180" spans="1:17">
      <c r="A180" s="1" t="s">
        <v>202</v>
      </c>
      <c r="B180" s="1" t="s">
        <v>14</v>
      </c>
      <c r="C180" s="1" t="s">
        <v>29</v>
      </c>
      <c r="D180" s="1" t="s">
        <v>391</v>
      </c>
      <c r="E180" s="1">
        <v>31526</v>
      </c>
      <c r="F180" s="1">
        <v>110722</v>
      </c>
      <c r="G180" s="1">
        <f t="shared" si="14"/>
        <v>142248</v>
      </c>
      <c r="H180" s="1">
        <v>72389</v>
      </c>
      <c r="I180" s="1">
        <v>20</v>
      </c>
      <c r="J180" s="1">
        <v>118</v>
      </c>
      <c r="K180" s="1">
        <f t="shared" si="20"/>
        <v>8541902</v>
      </c>
      <c r="L180" s="1">
        <v>2</v>
      </c>
      <c r="M180" s="1">
        <f t="shared" si="18"/>
        <v>8397124</v>
      </c>
      <c r="N180" s="1">
        <f t="shared" si="19"/>
        <v>8254876</v>
      </c>
      <c r="O180" s="4">
        <f t="shared" si="15"/>
        <v>0.98305991432304685</v>
      </c>
      <c r="P180" s="4">
        <f t="shared" si="16"/>
        <v>1.7241379310344827</v>
      </c>
      <c r="Q180" s="4">
        <f t="shared" si="17"/>
        <v>2.3413989062389147E-4</v>
      </c>
    </row>
    <row r="181" spans="1:17">
      <c r="A181" s="1" t="s">
        <v>203</v>
      </c>
      <c r="B181" s="1" t="s">
        <v>26</v>
      </c>
      <c r="C181" s="1" t="s">
        <v>15</v>
      </c>
      <c r="D181" s="1" t="s">
        <v>391</v>
      </c>
      <c r="E181" s="1">
        <v>23313</v>
      </c>
      <c r="F181" s="1">
        <v>90564</v>
      </c>
      <c r="G181" s="1">
        <f t="shared" si="14"/>
        <v>113877</v>
      </c>
      <c r="H181" s="1">
        <v>71121</v>
      </c>
      <c r="I181" s="1">
        <v>10</v>
      </c>
      <c r="J181" s="1">
        <v>72</v>
      </c>
      <c r="K181" s="1">
        <f t="shared" si="20"/>
        <v>5120712</v>
      </c>
      <c r="L181" s="1">
        <v>16</v>
      </c>
      <c r="M181" s="1">
        <f t="shared" si="18"/>
        <v>3982776</v>
      </c>
      <c r="N181" s="1">
        <f t="shared" si="19"/>
        <v>3868899</v>
      </c>
      <c r="O181" s="4">
        <f t="shared" si="15"/>
        <v>0.97140763126020646</v>
      </c>
      <c r="P181" s="4">
        <f t="shared" si="16"/>
        <v>28.571428571428569</v>
      </c>
      <c r="Q181" s="4">
        <f t="shared" si="17"/>
        <v>1.9528534313197071E-4</v>
      </c>
    </row>
    <row r="182" spans="1:17">
      <c r="A182" s="1" t="s">
        <v>204</v>
      </c>
      <c r="B182" s="1" t="s">
        <v>26</v>
      </c>
      <c r="C182" s="1" t="s">
        <v>15</v>
      </c>
      <c r="D182" s="1" t="s">
        <v>391</v>
      </c>
      <c r="E182" s="1">
        <v>35037</v>
      </c>
      <c r="F182" s="1">
        <v>218072</v>
      </c>
      <c r="G182" s="1">
        <f t="shared" si="14"/>
        <v>253109</v>
      </c>
      <c r="H182" s="1">
        <v>75206</v>
      </c>
      <c r="I182" s="1">
        <v>5</v>
      </c>
      <c r="J182" s="1">
        <v>143</v>
      </c>
      <c r="K182" s="1">
        <f t="shared" si="20"/>
        <v>10754458</v>
      </c>
      <c r="L182" s="1">
        <v>3</v>
      </c>
      <c r="M182" s="1">
        <f t="shared" si="18"/>
        <v>10528840</v>
      </c>
      <c r="N182" s="1">
        <f t="shared" si="19"/>
        <v>10275731</v>
      </c>
      <c r="O182" s="4">
        <f t="shared" si="15"/>
        <v>0.97596040969375542</v>
      </c>
      <c r="P182" s="4">
        <f t="shared" si="16"/>
        <v>2.1428571428571428</v>
      </c>
      <c r="Q182" s="4">
        <f t="shared" si="17"/>
        <v>4.6492347638532783E-5</v>
      </c>
    </row>
    <row r="183" spans="1:17">
      <c r="A183" s="1" t="s">
        <v>205</v>
      </c>
      <c r="B183" s="1" t="s">
        <v>14</v>
      </c>
      <c r="C183" s="1" t="s">
        <v>29</v>
      </c>
      <c r="D183" s="1" t="s">
        <v>391</v>
      </c>
      <c r="E183" s="1">
        <v>43315</v>
      </c>
      <c r="F183" s="1">
        <v>215644</v>
      </c>
      <c r="G183" s="1">
        <f t="shared" si="14"/>
        <v>258959</v>
      </c>
      <c r="H183" s="1">
        <v>19889</v>
      </c>
      <c r="I183" s="1">
        <v>5</v>
      </c>
      <c r="J183" s="1">
        <v>58</v>
      </c>
      <c r="K183" s="1">
        <f t="shared" si="20"/>
        <v>1153562</v>
      </c>
      <c r="L183" s="1">
        <v>38</v>
      </c>
      <c r="M183" s="1">
        <f t="shared" si="18"/>
        <v>397780</v>
      </c>
      <c r="N183" s="1">
        <f t="shared" si="19"/>
        <v>138821</v>
      </c>
      <c r="O183" s="4">
        <f t="shared" si="15"/>
        <v>0.34898939112071997</v>
      </c>
      <c r="P183" s="4">
        <f t="shared" si="16"/>
        <v>190</v>
      </c>
      <c r="Q183" s="4">
        <f t="shared" si="17"/>
        <v>4.3344007517584666E-4</v>
      </c>
    </row>
    <row r="184" spans="1:17">
      <c r="A184" s="1" t="s">
        <v>206</v>
      </c>
      <c r="B184" s="1" t="s">
        <v>20</v>
      </c>
      <c r="C184" s="1" t="s">
        <v>15</v>
      </c>
      <c r="D184" s="1" t="s">
        <v>392</v>
      </c>
      <c r="E184" s="1">
        <v>40900</v>
      </c>
      <c r="F184" s="1">
        <v>185355</v>
      </c>
      <c r="G184" s="1">
        <f t="shared" si="14"/>
        <v>226255</v>
      </c>
      <c r="H184" s="1">
        <v>30439</v>
      </c>
      <c r="I184" s="1">
        <v>5</v>
      </c>
      <c r="J184" s="1">
        <v>30</v>
      </c>
      <c r="K184" s="1">
        <f t="shared" si="20"/>
        <v>913170</v>
      </c>
      <c r="L184" s="1">
        <v>3</v>
      </c>
      <c r="M184" s="1">
        <f t="shared" si="18"/>
        <v>821853</v>
      </c>
      <c r="N184" s="1">
        <f t="shared" si="19"/>
        <v>595598</v>
      </c>
      <c r="O184" s="4">
        <f t="shared" si="15"/>
        <v>0.72470137603683382</v>
      </c>
      <c r="P184" s="4">
        <f t="shared" si="16"/>
        <v>11.111111111111111</v>
      </c>
      <c r="Q184" s="4">
        <f t="shared" si="17"/>
        <v>5.4754317377925254E-4</v>
      </c>
    </row>
    <row r="185" spans="1:17">
      <c r="A185" s="1" t="s">
        <v>207</v>
      </c>
      <c r="B185" s="1" t="s">
        <v>26</v>
      </c>
      <c r="C185" s="1" t="s">
        <v>15</v>
      </c>
      <c r="D185" s="1" t="s">
        <v>391</v>
      </c>
      <c r="E185" s="1">
        <v>48833</v>
      </c>
      <c r="F185" s="1">
        <v>282577</v>
      </c>
      <c r="G185" s="1">
        <f t="shared" si="14"/>
        <v>331410</v>
      </c>
      <c r="H185" s="1">
        <v>68922</v>
      </c>
      <c r="I185" s="1">
        <v>15</v>
      </c>
      <c r="J185" s="1">
        <v>148</v>
      </c>
      <c r="K185" s="1">
        <f t="shared" si="20"/>
        <v>10200456</v>
      </c>
      <c r="L185" s="1">
        <v>31</v>
      </c>
      <c r="M185" s="1">
        <f t="shared" si="18"/>
        <v>8063874</v>
      </c>
      <c r="N185" s="1">
        <f t="shared" si="19"/>
        <v>7732464</v>
      </c>
      <c r="O185" s="4">
        <f t="shared" si="15"/>
        <v>0.95890188760389861</v>
      </c>
      <c r="P185" s="4">
        <f t="shared" si="16"/>
        <v>26.495726495726498</v>
      </c>
      <c r="Q185" s="4">
        <f t="shared" si="17"/>
        <v>1.4705224942884905E-4</v>
      </c>
    </row>
    <row r="186" spans="1:17">
      <c r="A186" s="1" t="s">
        <v>208</v>
      </c>
      <c r="B186" s="1" t="s">
        <v>17</v>
      </c>
      <c r="C186" s="1" t="s">
        <v>21</v>
      </c>
      <c r="D186" s="1" t="s">
        <v>392</v>
      </c>
      <c r="E186" s="1">
        <v>41160</v>
      </c>
      <c r="F186" s="1">
        <v>376173</v>
      </c>
      <c r="G186" s="1">
        <f t="shared" si="14"/>
        <v>417333</v>
      </c>
      <c r="H186" s="1">
        <v>32357</v>
      </c>
      <c r="I186" s="1">
        <v>5</v>
      </c>
      <c r="J186" s="1">
        <v>11</v>
      </c>
      <c r="K186" s="1">
        <f t="shared" si="20"/>
        <v>355927</v>
      </c>
      <c r="L186" s="1">
        <v>19</v>
      </c>
      <c r="M186" s="1">
        <f t="shared" si="18"/>
        <v>-258856</v>
      </c>
      <c r="N186" s="1">
        <f t="shared" si="19"/>
        <v>-676189</v>
      </c>
      <c r="O186" s="4">
        <f t="shared" si="15"/>
        <v>-2.6122206941310999</v>
      </c>
      <c r="P186" s="4">
        <f t="shared" si="16"/>
        <v>-237.5</v>
      </c>
      <c r="Q186" s="4">
        <f t="shared" si="17"/>
        <v>1.4047824413433092E-3</v>
      </c>
    </row>
    <row r="187" spans="1:17">
      <c r="A187" s="1" t="s">
        <v>209</v>
      </c>
      <c r="B187" s="1" t="s">
        <v>20</v>
      </c>
      <c r="C187" s="1" t="s">
        <v>18</v>
      </c>
      <c r="D187" s="1" t="s">
        <v>391</v>
      </c>
      <c r="E187" s="1">
        <v>48376</v>
      </c>
      <c r="F187" s="1">
        <v>135971</v>
      </c>
      <c r="G187" s="1">
        <f t="shared" si="14"/>
        <v>184347</v>
      </c>
      <c r="H187" s="1">
        <v>22023</v>
      </c>
      <c r="I187" s="1">
        <v>0</v>
      </c>
      <c r="J187" s="1">
        <v>26</v>
      </c>
      <c r="K187" s="1">
        <f t="shared" si="20"/>
        <v>572598</v>
      </c>
      <c r="L187" s="1">
        <v>13</v>
      </c>
      <c r="M187" s="1">
        <f t="shared" si="18"/>
        <v>286299</v>
      </c>
      <c r="N187" s="1">
        <f t="shared" si="19"/>
        <v>101952</v>
      </c>
      <c r="O187" s="4">
        <f t="shared" si="15"/>
        <v>0.35610323473012478</v>
      </c>
      <c r="P187" s="4">
        <f t="shared" si="16"/>
        <v>100</v>
      </c>
      <c r="Q187" s="4">
        <f t="shared" si="17"/>
        <v>0</v>
      </c>
    </row>
    <row r="188" spans="1:17">
      <c r="A188" s="1" t="s">
        <v>210</v>
      </c>
      <c r="B188" s="1" t="s">
        <v>26</v>
      </c>
      <c r="C188" s="1" t="s">
        <v>18</v>
      </c>
      <c r="D188" s="1" t="s">
        <v>392</v>
      </c>
      <c r="E188" s="1">
        <v>7700</v>
      </c>
      <c r="F188" s="1">
        <v>358521</v>
      </c>
      <c r="G188" s="1">
        <f t="shared" si="14"/>
        <v>366221</v>
      </c>
      <c r="H188" s="1">
        <v>56688</v>
      </c>
      <c r="I188" s="1">
        <v>20</v>
      </c>
      <c r="J188" s="1">
        <v>135</v>
      </c>
      <c r="K188" s="1">
        <f t="shared" si="20"/>
        <v>7652880</v>
      </c>
      <c r="L188" s="1">
        <v>26</v>
      </c>
      <c r="M188" s="1">
        <f t="shared" si="18"/>
        <v>6178992</v>
      </c>
      <c r="N188" s="1">
        <f t="shared" si="19"/>
        <v>5812771</v>
      </c>
      <c r="O188" s="4">
        <f t="shared" si="15"/>
        <v>0.94073127137889156</v>
      </c>
      <c r="P188" s="4">
        <f t="shared" si="16"/>
        <v>23.853211009174313</v>
      </c>
      <c r="Q188" s="4">
        <f t="shared" si="17"/>
        <v>2.6133952185321084E-4</v>
      </c>
    </row>
    <row r="189" spans="1:17">
      <c r="A189" s="1" t="s">
        <v>211</v>
      </c>
      <c r="B189" s="1" t="s">
        <v>14</v>
      </c>
      <c r="C189" s="1" t="s">
        <v>15</v>
      </c>
      <c r="D189" s="1" t="s">
        <v>391</v>
      </c>
      <c r="E189" s="1">
        <v>18676</v>
      </c>
      <c r="F189" s="1">
        <v>212690</v>
      </c>
      <c r="G189" s="1">
        <f t="shared" si="14"/>
        <v>231366</v>
      </c>
      <c r="H189" s="1">
        <v>53285</v>
      </c>
      <c r="I189" s="1">
        <v>10</v>
      </c>
      <c r="J189" s="1">
        <v>19</v>
      </c>
      <c r="K189" s="1">
        <f t="shared" si="20"/>
        <v>1012415</v>
      </c>
      <c r="L189" s="1">
        <v>19</v>
      </c>
      <c r="M189" s="1">
        <f t="shared" si="18"/>
        <v>0</v>
      </c>
      <c r="N189" s="1">
        <f t="shared" si="19"/>
        <v>-231366</v>
      </c>
      <c r="O189" s="4">
        <v>0</v>
      </c>
      <c r="P189" s="4">
        <v>0</v>
      </c>
      <c r="Q189" s="4">
        <f t="shared" si="17"/>
        <v>9.8773724213884633E-4</v>
      </c>
    </row>
    <row r="190" spans="1:17">
      <c r="A190" s="1" t="s">
        <v>212</v>
      </c>
      <c r="B190" s="1" t="s">
        <v>14</v>
      </c>
      <c r="C190" s="1" t="s">
        <v>15</v>
      </c>
      <c r="D190" s="1" t="s">
        <v>392</v>
      </c>
      <c r="E190" s="1">
        <v>44696</v>
      </c>
      <c r="F190" s="1">
        <v>220701</v>
      </c>
      <c r="G190" s="1">
        <f t="shared" si="14"/>
        <v>265397</v>
      </c>
      <c r="H190" s="1">
        <v>37309</v>
      </c>
      <c r="I190" s="1">
        <v>10</v>
      </c>
      <c r="J190" s="1">
        <v>5</v>
      </c>
      <c r="K190" s="1">
        <f t="shared" si="20"/>
        <v>186545</v>
      </c>
      <c r="L190" s="1">
        <v>6</v>
      </c>
      <c r="M190" s="1">
        <f t="shared" si="18"/>
        <v>-37309</v>
      </c>
      <c r="N190" s="1">
        <f t="shared" si="19"/>
        <v>-302706</v>
      </c>
      <c r="O190" s="4">
        <f t="shared" si="15"/>
        <v>-8.1134846819802195</v>
      </c>
      <c r="P190" s="4">
        <f t="shared" si="16"/>
        <v>-600</v>
      </c>
      <c r="Q190" s="4">
        <f t="shared" si="17"/>
        <v>5.3606368436570264E-3</v>
      </c>
    </row>
    <row r="191" spans="1:17">
      <c r="A191" s="1" t="s">
        <v>213</v>
      </c>
      <c r="B191" s="1" t="s">
        <v>26</v>
      </c>
      <c r="C191" s="1" t="s">
        <v>29</v>
      </c>
      <c r="D191" s="1" t="s">
        <v>392</v>
      </c>
      <c r="E191" s="1">
        <v>10975</v>
      </c>
      <c r="F191" s="1">
        <v>279277</v>
      </c>
      <c r="G191" s="1">
        <f t="shared" si="14"/>
        <v>290252</v>
      </c>
      <c r="H191" s="1">
        <v>18577</v>
      </c>
      <c r="I191" s="1">
        <v>20</v>
      </c>
      <c r="J191" s="1">
        <v>142</v>
      </c>
      <c r="K191" s="1">
        <f t="shared" si="20"/>
        <v>2637934</v>
      </c>
      <c r="L191" s="1">
        <v>13</v>
      </c>
      <c r="M191" s="1">
        <f t="shared" si="18"/>
        <v>2396433</v>
      </c>
      <c r="N191" s="1">
        <f t="shared" si="19"/>
        <v>2106181</v>
      </c>
      <c r="O191" s="4">
        <f t="shared" si="15"/>
        <v>0.87888165452570555</v>
      </c>
      <c r="P191" s="4">
        <f t="shared" si="16"/>
        <v>10.077519379844961</v>
      </c>
      <c r="Q191" s="4">
        <f t="shared" si="17"/>
        <v>7.5816908231972444E-4</v>
      </c>
    </row>
    <row r="192" spans="1:17">
      <c r="A192" s="1" t="s">
        <v>214</v>
      </c>
      <c r="B192" s="1" t="s">
        <v>14</v>
      </c>
      <c r="C192" s="1" t="s">
        <v>15</v>
      </c>
      <c r="D192" s="1" t="s">
        <v>391</v>
      </c>
      <c r="E192" s="1">
        <v>6157</v>
      </c>
      <c r="F192" s="1">
        <v>97190</v>
      </c>
      <c r="G192" s="1">
        <f t="shared" si="14"/>
        <v>103347</v>
      </c>
      <c r="H192" s="1">
        <v>70418</v>
      </c>
      <c r="I192" s="1">
        <v>20</v>
      </c>
      <c r="J192" s="1">
        <v>62</v>
      </c>
      <c r="K192" s="1">
        <f t="shared" si="20"/>
        <v>4365916</v>
      </c>
      <c r="L192" s="1">
        <v>2</v>
      </c>
      <c r="M192" s="1">
        <f t="shared" si="18"/>
        <v>4225080</v>
      </c>
      <c r="N192" s="1">
        <f t="shared" si="19"/>
        <v>4121733</v>
      </c>
      <c r="O192" s="4">
        <f t="shared" si="15"/>
        <v>0.97553963475247807</v>
      </c>
      <c r="P192" s="4">
        <f t="shared" si="16"/>
        <v>3.3333333333333335</v>
      </c>
      <c r="Q192" s="4">
        <f t="shared" si="17"/>
        <v>4.5809401738375175E-4</v>
      </c>
    </row>
    <row r="193" spans="1:17">
      <c r="A193" s="1" t="s">
        <v>215</v>
      </c>
      <c r="B193" s="1" t="s">
        <v>17</v>
      </c>
      <c r="C193" s="1" t="s">
        <v>18</v>
      </c>
      <c r="D193" s="1" t="s">
        <v>391</v>
      </c>
      <c r="E193" s="1">
        <v>27394</v>
      </c>
      <c r="F193" s="1">
        <v>264725</v>
      </c>
      <c r="G193" s="1">
        <f t="shared" si="14"/>
        <v>292119</v>
      </c>
      <c r="H193" s="1">
        <v>41141</v>
      </c>
      <c r="I193" s="1">
        <v>10</v>
      </c>
      <c r="J193" s="1">
        <v>17</v>
      </c>
      <c r="K193" s="1">
        <f t="shared" si="20"/>
        <v>699397</v>
      </c>
      <c r="L193" s="1">
        <v>6</v>
      </c>
      <c r="M193" s="1">
        <f t="shared" si="18"/>
        <v>452551</v>
      </c>
      <c r="N193" s="1">
        <f t="shared" si="19"/>
        <v>160432</v>
      </c>
      <c r="O193" s="4">
        <f t="shared" si="15"/>
        <v>0.35450590099237433</v>
      </c>
      <c r="P193" s="4">
        <f t="shared" si="16"/>
        <v>54.54545454545454</v>
      </c>
      <c r="Q193" s="4">
        <f t="shared" si="17"/>
        <v>1.4298031018148492E-3</v>
      </c>
    </row>
    <row r="194" spans="1:17">
      <c r="A194" s="1" t="s">
        <v>216</v>
      </c>
      <c r="B194" s="1" t="s">
        <v>20</v>
      </c>
      <c r="C194" s="1" t="s">
        <v>15</v>
      </c>
      <c r="D194" s="1" t="s">
        <v>391</v>
      </c>
      <c r="E194" s="1">
        <v>8367</v>
      </c>
      <c r="F194" s="1">
        <v>207033</v>
      </c>
      <c r="G194" s="1">
        <f t="shared" si="14"/>
        <v>215400</v>
      </c>
      <c r="H194" s="1">
        <v>84837</v>
      </c>
      <c r="I194" s="1">
        <v>5</v>
      </c>
      <c r="J194" s="1">
        <v>51</v>
      </c>
      <c r="K194" s="1">
        <f t="shared" si="20"/>
        <v>4326687</v>
      </c>
      <c r="L194" s="1">
        <v>31</v>
      </c>
      <c r="M194" s="1">
        <f t="shared" si="18"/>
        <v>1696740</v>
      </c>
      <c r="N194" s="1">
        <f t="shared" si="19"/>
        <v>1481340</v>
      </c>
      <c r="O194" s="4">
        <f t="shared" si="15"/>
        <v>0.87305067364475408</v>
      </c>
      <c r="P194" s="4">
        <f t="shared" si="16"/>
        <v>155</v>
      </c>
      <c r="Q194" s="4">
        <f t="shared" si="17"/>
        <v>1.1556186061067047E-4</v>
      </c>
    </row>
    <row r="195" spans="1:17">
      <c r="A195" s="1" t="s">
        <v>217</v>
      </c>
      <c r="B195" s="1" t="s">
        <v>26</v>
      </c>
      <c r="C195" s="1" t="s">
        <v>29</v>
      </c>
      <c r="D195" s="1" t="s">
        <v>392</v>
      </c>
      <c r="E195" s="1">
        <v>5242</v>
      </c>
      <c r="F195" s="1">
        <v>260141</v>
      </c>
      <c r="G195" s="1">
        <f t="shared" ref="G195:G258" si="21">E195+F195</f>
        <v>265383</v>
      </c>
      <c r="H195" s="1">
        <v>76982</v>
      </c>
      <c r="I195" s="1">
        <v>5</v>
      </c>
      <c r="J195" s="1">
        <v>150</v>
      </c>
      <c r="K195" s="1">
        <f t="shared" si="20"/>
        <v>11547300</v>
      </c>
      <c r="L195" s="1">
        <v>21</v>
      </c>
      <c r="M195" s="1">
        <f t="shared" si="18"/>
        <v>9930678</v>
      </c>
      <c r="N195" s="1">
        <f t="shared" si="19"/>
        <v>9665295</v>
      </c>
      <c r="O195" s="4">
        <f t="shared" ref="O195:O258" si="22">SUM(N195/ABS(M195))</f>
        <v>0.97327644698579496</v>
      </c>
      <c r="P195" s="4">
        <f t="shared" ref="P195:P258" si="23">SUM(H195*L195)/M195*100</f>
        <v>16.279069767441861</v>
      </c>
      <c r="Q195" s="4">
        <f t="shared" ref="Q195:Q258" si="24">I195/K195*100</f>
        <v>4.3300165406631855E-5</v>
      </c>
    </row>
    <row r="196" spans="1:17">
      <c r="A196" s="1" t="s">
        <v>218</v>
      </c>
      <c r="B196" s="1" t="s">
        <v>26</v>
      </c>
      <c r="C196" s="1" t="s">
        <v>21</v>
      </c>
      <c r="D196" s="1" t="s">
        <v>391</v>
      </c>
      <c r="E196" s="1">
        <v>23373</v>
      </c>
      <c r="F196" s="1">
        <v>68573</v>
      </c>
      <c r="G196" s="1">
        <f t="shared" si="21"/>
        <v>91946</v>
      </c>
      <c r="H196" s="1">
        <v>33542</v>
      </c>
      <c r="I196" s="1">
        <v>15</v>
      </c>
      <c r="J196" s="1">
        <v>7</v>
      </c>
      <c r="K196" s="1">
        <f t="shared" si="20"/>
        <v>234794</v>
      </c>
      <c r="L196" s="1">
        <v>38</v>
      </c>
      <c r="M196" s="1">
        <f t="shared" ref="M196:M259" si="25">K196-H196*L196</f>
        <v>-1039802</v>
      </c>
      <c r="N196" s="1">
        <f t="shared" ref="N196:N259" si="26">M196-G196</f>
        <v>-1131748</v>
      </c>
      <c r="O196" s="4">
        <f t="shared" si="22"/>
        <v>-1.0884264504203685</v>
      </c>
      <c r="P196" s="4">
        <f t="shared" si="23"/>
        <v>-122.58064516129032</v>
      </c>
      <c r="Q196" s="4">
        <f t="shared" si="24"/>
        <v>6.3885789245040339E-3</v>
      </c>
    </row>
    <row r="197" spans="1:17">
      <c r="A197" s="1" t="s">
        <v>219</v>
      </c>
      <c r="B197" s="1" t="s">
        <v>26</v>
      </c>
      <c r="C197" s="1" t="s">
        <v>74</v>
      </c>
      <c r="D197" s="1" t="s">
        <v>392</v>
      </c>
      <c r="E197" s="1">
        <v>34020</v>
      </c>
      <c r="F197" s="1">
        <v>294352</v>
      </c>
      <c r="G197" s="1">
        <f t="shared" si="21"/>
        <v>328372</v>
      </c>
      <c r="H197" s="1">
        <v>34273</v>
      </c>
      <c r="I197" s="1">
        <v>20</v>
      </c>
      <c r="J197" s="1">
        <v>142</v>
      </c>
      <c r="K197" s="1">
        <f t="shared" ref="K197:K260" si="27">H197*J197</f>
        <v>4866766</v>
      </c>
      <c r="L197" s="1">
        <v>5</v>
      </c>
      <c r="M197" s="1">
        <f t="shared" si="25"/>
        <v>4695401</v>
      </c>
      <c r="N197" s="1">
        <f t="shared" si="26"/>
        <v>4367029</v>
      </c>
      <c r="O197" s="4">
        <f t="shared" si="22"/>
        <v>0.93006518506087121</v>
      </c>
      <c r="P197" s="4">
        <f t="shared" si="23"/>
        <v>3.6496350364963499</v>
      </c>
      <c r="Q197" s="4">
        <f t="shared" si="24"/>
        <v>4.1095051621549097E-4</v>
      </c>
    </row>
    <row r="198" spans="1:17">
      <c r="A198" s="1" t="s">
        <v>220</v>
      </c>
      <c r="B198" s="1" t="s">
        <v>20</v>
      </c>
      <c r="C198" s="1" t="s">
        <v>15</v>
      </c>
      <c r="D198" s="1" t="s">
        <v>392</v>
      </c>
      <c r="E198" s="1">
        <v>36676</v>
      </c>
      <c r="F198" s="1">
        <v>249971</v>
      </c>
      <c r="G198" s="1">
        <f t="shared" si="21"/>
        <v>286647</v>
      </c>
      <c r="H198" s="1">
        <v>43049</v>
      </c>
      <c r="I198" s="1">
        <v>20</v>
      </c>
      <c r="J198" s="1">
        <v>62</v>
      </c>
      <c r="K198" s="1">
        <f t="shared" si="27"/>
        <v>2669038</v>
      </c>
      <c r="L198" s="1">
        <v>9</v>
      </c>
      <c r="M198" s="1">
        <f t="shared" si="25"/>
        <v>2281597</v>
      </c>
      <c r="N198" s="1">
        <f t="shared" si="26"/>
        <v>1994950</v>
      </c>
      <c r="O198" s="4">
        <f t="shared" si="22"/>
        <v>0.87436563074022278</v>
      </c>
      <c r="P198" s="4">
        <f t="shared" si="23"/>
        <v>16.981132075471699</v>
      </c>
      <c r="Q198" s="4">
        <f t="shared" si="24"/>
        <v>7.4933365504724922E-4</v>
      </c>
    </row>
    <row r="199" spans="1:17">
      <c r="A199" s="1" t="s">
        <v>221</v>
      </c>
      <c r="B199" s="1" t="s">
        <v>17</v>
      </c>
      <c r="C199" s="1" t="s">
        <v>29</v>
      </c>
      <c r="D199" s="1" t="s">
        <v>391</v>
      </c>
      <c r="E199" s="1">
        <v>49852</v>
      </c>
      <c r="F199" s="1">
        <v>353016</v>
      </c>
      <c r="G199" s="1">
        <f t="shared" si="21"/>
        <v>402868</v>
      </c>
      <c r="H199" s="1">
        <v>84961</v>
      </c>
      <c r="I199" s="1">
        <v>10</v>
      </c>
      <c r="J199" s="1">
        <v>12</v>
      </c>
      <c r="K199" s="1">
        <f t="shared" si="27"/>
        <v>1019532</v>
      </c>
      <c r="L199" s="1">
        <v>31</v>
      </c>
      <c r="M199" s="1">
        <f t="shared" si="25"/>
        <v>-1614259</v>
      </c>
      <c r="N199" s="1">
        <f t="shared" si="26"/>
        <v>-2017127</v>
      </c>
      <c r="O199" s="4">
        <f t="shared" si="22"/>
        <v>-1.249568377812978</v>
      </c>
      <c r="P199" s="4">
        <f t="shared" si="23"/>
        <v>-163.15789473684211</v>
      </c>
      <c r="Q199" s="4">
        <f t="shared" si="24"/>
        <v>9.8084219033831195E-4</v>
      </c>
    </row>
    <row r="200" spans="1:17">
      <c r="A200" s="1" t="s">
        <v>222</v>
      </c>
      <c r="B200" s="1" t="s">
        <v>17</v>
      </c>
      <c r="C200" s="1" t="s">
        <v>29</v>
      </c>
      <c r="D200" s="1" t="s">
        <v>392</v>
      </c>
      <c r="E200" s="1">
        <v>23383</v>
      </c>
      <c r="F200" s="1">
        <v>58330</v>
      </c>
      <c r="G200" s="1">
        <f t="shared" si="21"/>
        <v>81713</v>
      </c>
      <c r="H200" s="1">
        <v>56811</v>
      </c>
      <c r="I200" s="1">
        <v>20</v>
      </c>
      <c r="J200" s="1">
        <v>143</v>
      </c>
      <c r="K200" s="1">
        <f t="shared" si="27"/>
        <v>8123973</v>
      </c>
      <c r="L200" s="1">
        <v>29</v>
      </c>
      <c r="M200" s="1">
        <f t="shared" si="25"/>
        <v>6476454</v>
      </c>
      <c r="N200" s="1">
        <f t="shared" si="26"/>
        <v>6394741</v>
      </c>
      <c r="O200" s="4">
        <f t="shared" si="22"/>
        <v>0.98738306486852223</v>
      </c>
      <c r="P200" s="4">
        <f t="shared" si="23"/>
        <v>25.438596491228072</v>
      </c>
      <c r="Q200" s="4">
        <f t="shared" si="24"/>
        <v>2.4618496393328734E-4</v>
      </c>
    </row>
    <row r="201" spans="1:17">
      <c r="A201" s="1" t="s">
        <v>223</v>
      </c>
      <c r="B201" s="1" t="s">
        <v>17</v>
      </c>
      <c r="C201" s="1" t="s">
        <v>21</v>
      </c>
      <c r="D201" s="1" t="s">
        <v>391</v>
      </c>
      <c r="E201" s="1">
        <v>20072</v>
      </c>
      <c r="F201" s="1">
        <v>135567</v>
      </c>
      <c r="G201" s="1">
        <f t="shared" si="21"/>
        <v>155639</v>
      </c>
      <c r="H201" s="1">
        <v>43623</v>
      </c>
      <c r="I201" s="1">
        <v>0</v>
      </c>
      <c r="J201" s="1">
        <v>140</v>
      </c>
      <c r="K201" s="1">
        <f t="shared" si="27"/>
        <v>6107220</v>
      </c>
      <c r="L201" s="1">
        <v>8</v>
      </c>
      <c r="M201" s="1">
        <f t="shared" si="25"/>
        <v>5758236</v>
      </c>
      <c r="N201" s="1">
        <f t="shared" si="26"/>
        <v>5602597</v>
      </c>
      <c r="O201" s="4">
        <f t="shared" si="22"/>
        <v>0.9729710626657192</v>
      </c>
      <c r="P201" s="4">
        <f t="shared" si="23"/>
        <v>6.0606060606060606</v>
      </c>
      <c r="Q201" s="4">
        <f t="shared" si="24"/>
        <v>0</v>
      </c>
    </row>
    <row r="202" spans="1:17">
      <c r="A202" s="1" t="s">
        <v>224</v>
      </c>
      <c r="B202" s="1" t="s">
        <v>17</v>
      </c>
      <c r="C202" s="1" t="s">
        <v>15</v>
      </c>
      <c r="D202" s="1" t="s">
        <v>391</v>
      </c>
      <c r="E202" s="1">
        <v>45606</v>
      </c>
      <c r="F202" s="1">
        <v>368118</v>
      </c>
      <c r="G202" s="1">
        <f t="shared" si="21"/>
        <v>413724</v>
      </c>
      <c r="H202" s="1">
        <v>83574</v>
      </c>
      <c r="I202" s="1">
        <v>20</v>
      </c>
      <c r="J202" s="1">
        <v>94</v>
      </c>
      <c r="K202" s="1">
        <f t="shared" si="27"/>
        <v>7855956</v>
      </c>
      <c r="L202" s="1">
        <v>33</v>
      </c>
      <c r="M202" s="1">
        <f t="shared" si="25"/>
        <v>5098014</v>
      </c>
      <c r="N202" s="1">
        <f t="shared" si="26"/>
        <v>4684290</v>
      </c>
      <c r="O202" s="4">
        <f t="shared" si="22"/>
        <v>0.91884604475389831</v>
      </c>
      <c r="P202" s="4">
        <f t="shared" si="23"/>
        <v>54.098360655737707</v>
      </c>
      <c r="Q202" s="4">
        <f t="shared" si="24"/>
        <v>2.5458391060235059E-4</v>
      </c>
    </row>
    <row r="203" spans="1:17">
      <c r="A203" s="1" t="s">
        <v>225</v>
      </c>
      <c r="B203" s="1" t="s">
        <v>14</v>
      </c>
      <c r="C203" s="1" t="s">
        <v>15</v>
      </c>
      <c r="D203" s="1" t="s">
        <v>391</v>
      </c>
      <c r="E203" s="1">
        <v>6836</v>
      </c>
      <c r="F203" s="1">
        <v>210857</v>
      </c>
      <c r="G203" s="1">
        <f t="shared" si="21"/>
        <v>217693</v>
      </c>
      <c r="H203" s="1">
        <v>49240</v>
      </c>
      <c r="I203" s="1">
        <v>0</v>
      </c>
      <c r="J203" s="1">
        <v>39</v>
      </c>
      <c r="K203" s="1">
        <f t="shared" si="27"/>
        <v>1920360</v>
      </c>
      <c r="L203" s="1">
        <v>5</v>
      </c>
      <c r="M203" s="1">
        <f t="shared" si="25"/>
        <v>1674160</v>
      </c>
      <c r="N203" s="1">
        <f t="shared" si="26"/>
        <v>1456467</v>
      </c>
      <c r="O203" s="4">
        <f t="shared" si="22"/>
        <v>0.86996882018445076</v>
      </c>
      <c r="P203" s="4">
        <f t="shared" si="23"/>
        <v>14.705882352941178</v>
      </c>
      <c r="Q203" s="4">
        <f t="shared" si="24"/>
        <v>0</v>
      </c>
    </row>
    <row r="204" spans="1:17">
      <c r="A204" s="1" t="s">
        <v>226</v>
      </c>
      <c r="B204" s="1" t="s">
        <v>26</v>
      </c>
      <c r="C204" s="1" t="s">
        <v>21</v>
      </c>
      <c r="D204" s="1" t="s">
        <v>392</v>
      </c>
      <c r="E204" s="1">
        <v>36738</v>
      </c>
      <c r="F204" s="1">
        <v>273052</v>
      </c>
      <c r="G204" s="1">
        <f t="shared" si="21"/>
        <v>309790</v>
      </c>
      <c r="H204" s="1">
        <v>12349</v>
      </c>
      <c r="I204" s="1">
        <v>5</v>
      </c>
      <c r="J204" s="1">
        <v>62</v>
      </c>
      <c r="K204" s="1">
        <f t="shared" si="27"/>
        <v>765638</v>
      </c>
      <c r="L204" s="1">
        <v>6</v>
      </c>
      <c r="M204" s="1">
        <f t="shared" si="25"/>
        <v>691544</v>
      </c>
      <c r="N204" s="1">
        <f t="shared" si="26"/>
        <v>381754</v>
      </c>
      <c r="O204" s="4">
        <f t="shared" si="22"/>
        <v>0.55203139641150811</v>
      </c>
      <c r="P204" s="4">
        <f t="shared" si="23"/>
        <v>10.714285714285714</v>
      </c>
      <c r="Q204" s="4">
        <f t="shared" si="24"/>
        <v>6.5305013596503834E-4</v>
      </c>
    </row>
    <row r="205" spans="1:17">
      <c r="A205" s="1" t="s">
        <v>227</v>
      </c>
      <c r="B205" s="1" t="s">
        <v>26</v>
      </c>
      <c r="C205" s="1" t="s">
        <v>29</v>
      </c>
      <c r="D205" s="1" t="s">
        <v>391</v>
      </c>
      <c r="E205" s="1">
        <v>45452</v>
      </c>
      <c r="F205" s="1">
        <v>156909</v>
      </c>
      <c r="G205" s="1">
        <f t="shared" si="21"/>
        <v>202361</v>
      </c>
      <c r="H205" s="1">
        <v>45359</v>
      </c>
      <c r="I205" s="1">
        <v>15</v>
      </c>
      <c r="J205" s="1">
        <v>128</v>
      </c>
      <c r="K205" s="1">
        <f t="shared" si="27"/>
        <v>5805952</v>
      </c>
      <c r="L205" s="1">
        <v>0</v>
      </c>
      <c r="M205" s="1">
        <f t="shared" si="25"/>
        <v>5805952</v>
      </c>
      <c r="N205" s="1">
        <f t="shared" si="26"/>
        <v>5603591</v>
      </c>
      <c r="O205" s="4">
        <f t="shared" si="22"/>
        <v>0.96514593989065012</v>
      </c>
      <c r="P205" s="4">
        <f t="shared" si="23"/>
        <v>0</v>
      </c>
      <c r="Q205" s="4">
        <f t="shared" si="24"/>
        <v>2.5835556339425474E-4</v>
      </c>
    </row>
    <row r="206" spans="1:17">
      <c r="A206" s="1" t="s">
        <v>228</v>
      </c>
      <c r="B206" s="1" t="s">
        <v>26</v>
      </c>
      <c r="C206" s="1" t="s">
        <v>74</v>
      </c>
      <c r="D206" s="1" t="s">
        <v>391</v>
      </c>
      <c r="E206" s="1">
        <v>7492</v>
      </c>
      <c r="F206" s="1">
        <v>89774</v>
      </c>
      <c r="G206" s="1">
        <f t="shared" si="21"/>
        <v>97266</v>
      </c>
      <c r="H206" s="1">
        <v>64699</v>
      </c>
      <c r="I206" s="1">
        <v>5</v>
      </c>
      <c r="J206" s="1">
        <v>119</v>
      </c>
      <c r="K206" s="1">
        <f t="shared" si="27"/>
        <v>7699181</v>
      </c>
      <c r="L206" s="1">
        <v>26</v>
      </c>
      <c r="M206" s="1">
        <f t="shared" si="25"/>
        <v>6017007</v>
      </c>
      <c r="N206" s="1">
        <f t="shared" si="26"/>
        <v>5919741</v>
      </c>
      <c r="O206" s="4">
        <f t="shared" si="22"/>
        <v>0.98383482020213708</v>
      </c>
      <c r="P206" s="4">
        <f t="shared" si="23"/>
        <v>27.956989247311824</v>
      </c>
      <c r="Q206" s="4">
        <f t="shared" si="24"/>
        <v>6.4941972399401953E-5</v>
      </c>
    </row>
    <row r="207" spans="1:17">
      <c r="A207" s="1" t="s">
        <v>229</v>
      </c>
      <c r="B207" s="1" t="s">
        <v>17</v>
      </c>
      <c r="C207" s="1" t="s">
        <v>21</v>
      </c>
      <c r="D207" s="1" t="s">
        <v>392</v>
      </c>
      <c r="E207" s="1">
        <v>43724</v>
      </c>
      <c r="F207" s="1">
        <v>334104</v>
      </c>
      <c r="G207" s="1">
        <f t="shared" si="21"/>
        <v>377828</v>
      </c>
      <c r="H207" s="1">
        <v>43729</v>
      </c>
      <c r="I207" s="1">
        <v>20</v>
      </c>
      <c r="J207" s="1">
        <v>2</v>
      </c>
      <c r="K207" s="1">
        <f t="shared" si="27"/>
        <v>87458</v>
      </c>
      <c r="L207" s="1">
        <v>37</v>
      </c>
      <c r="M207" s="1">
        <f t="shared" si="25"/>
        <v>-1530515</v>
      </c>
      <c r="N207" s="1">
        <f t="shared" si="26"/>
        <v>-1908343</v>
      </c>
      <c r="O207" s="4">
        <f t="shared" si="22"/>
        <v>-1.2468633107156741</v>
      </c>
      <c r="P207" s="4">
        <f t="shared" si="23"/>
        <v>-105.71428571428572</v>
      </c>
      <c r="Q207" s="4">
        <f t="shared" si="24"/>
        <v>2.286811955452903E-2</v>
      </c>
    </row>
    <row r="208" spans="1:17">
      <c r="A208" s="1" t="s">
        <v>230</v>
      </c>
      <c r="B208" s="1" t="s">
        <v>17</v>
      </c>
      <c r="C208" s="1" t="s">
        <v>18</v>
      </c>
      <c r="D208" s="1" t="s">
        <v>391</v>
      </c>
      <c r="E208" s="1">
        <v>5147</v>
      </c>
      <c r="F208" s="1">
        <v>91369</v>
      </c>
      <c r="G208" s="1">
        <f t="shared" si="21"/>
        <v>96516</v>
      </c>
      <c r="H208" s="1">
        <v>57458</v>
      </c>
      <c r="I208" s="1">
        <v>10</v>
      </c>
      <c r="J208" s="1">
        <v>33</v>
      </c>
      <c r="K208" s="1">
        <f t="shared" si="27"/>
        <v>1896114</v>
      </c>
      <c r="L208" s="1">
        <v>16</v>
      </c>
      <c r="M208" s="1">
        <f t="shared" si="25"/>
        <v>976786</v>
      </c>
      <c r="N208" s="1">
        <f t="shared" si="26"/>
        <v>880270</v>
      </c>
      <c r="O208" s="4">
        <f t="shared" si="22"/>
        <v>0.90119022999920151</v>
      </c>
      <c r="P208" s="4">
        <f t="shared" si="23"/>
        <v>94.117647058823522</v>
      </c>
      <c r="Q208" s="4">
        <f t="shared" si="24"/>
        <v>5.2739444991176695E-4</v>
      </c>
    </row>
    <row r="209" spans="1:17">
      <c r="A209" s="1" t="s">
        <v>231</v>
      </c>
      <c r="B209" s="1" t="s">
        <v>20</v>
      </c>
      <c r="C209" s="1" t="s">
        <v>15</v>
      </c>
      <c r="D209" s="1" t="s">
        <v>391</v>
      </c>
      <c r="E209" s="1">
        <v>28902</v>
      </c>
      <c r="F209" s="1">
        <v>386609</v>
      </c>
      <c r="G209" s="1">
        <f t="shared" si="21"/>
        <v>415511</v>
      </c>
      <c r="H209" s="1">
        <v>10241</v>
      </c>
      <c r="I209" s="1">
        <v>5</v>
      </c>
      <c r="J209" s="1">
        <v>123</v>
      </c>
      <c r="K209" s="1">
        <f t="shared" si="27"/>
        <v>1259643</v>
      </c>
      <c r="L209" s="1">
        <v>25</v>
      </c>
      <c r="M209" s="1">
        <f t="shared" si="25"/>
        <v>1003618</v>
      </c>
      <c r="N209" s="1">
        <f t="shared" si="26"/>
        <v>588107</v>
      </c>
      <c r="O209" s="4">
        <f t="shared" si="22"/>
        <v>0.5859868993979781</v>
      </c>
      <c r="P209" s="4">
        <f t="shared" si="23"/>
        <v>25.510204081632654</v>
      </c>
      <c r="Q209" s="4">
        <f t="shared" si="24"/>
        <v>3.9693786255312017E-4</v>
      </c>
    </row>
    <row r="210" spans="1:17">
      <c r="A210" s="1" t="s">
        <v>232</v>
      </c>
      <c r="B210" s="1" t="s">
        <v>20</v>
      </c>
      <c r="C210" s="1" t="s">
        <v>15</v>
      </c>
      <c r="D210" s="1" t="s">
        <v>391</v>
      </c>
      <c r="E210" s="1">
        <v>44889</v>
      </c>
      <c r="F210" s="1">
        <v>143368</v>
      </c>
      <c r="G210" s="1">
        <f t="shared" si="21"/>
        <v>188257</v>
      </c>
      <c r="H210" s="1">
        <v>51551</v>
      </c>
      <c r="I210" s="1">
        <v>5</v>
      </c>
      <c r="J210" s="1">
        <v>27</v>
      </c>
      <c r="K210" s="1">
        <f t="shared" si="27"/>
        <v>1391877</v>
      </c>
      <c r="L210" s="1">
        <v>30</v>
      </c>
      <c r="M210" s="1">
        <f t="shared" si="25"/>
        <v>-154653</v>
      </c>
      <c r="N210" s="1">
        <f t="shared" si="26"/>
        <v>-342910</v>
      </c>
      <c r="O210" s="4">
        <f t="shared" si="22"/>
        <v>-2.217286441258818</v>
      </c>
      <c r="P210" s="4">
        <f t="shared" si="23"/>
        <v>-1000</v>
      </c>
      <c r="Q210" s="4">
        <f t="shared" si="24"/>
        <v>3.5922714435255416E-4</v>
      </c>
    </row>
    <row r="211" spans="1:17">
      <c r="A211" s="1" t="s">
        <v>233</v>
      </c>
      <c r="B211" s="1" t="s">
        <v>17</v>
      </c>
      <c r="C211" s="1" t="s">
        <v>29</v>
      </c>
      <c r="D211" s="1" t="s">
        <v>391</v>
      </c>
      <c r="E211" s="1">
        <v>38545</v>
      </c>
      <c r="F211" s="1">
        <v>61956</v>
      </c>
      <c r="G211" s="1">
        <f t="shared" si="21"/>
        <v>100501</v>
      </c>
      <c r="H211" s="1">
        <v>60325</v>
      </c>
      <c r="I211" s="1">
        <v>0</v>
      </c>
      <c r="J211" s="1">
        <v>6</v>
      </c>
      <c r="K211" s="1">
        <f t="shared" si="27"/>
        <v>361950</v>
      </c>
      <c r="L211" s="1">
        <v>24</v>
      </c>
      <c r="M211" s="1">
        <f t="shared" si="25"/>
        <v>-1085850</v>
      </c>
      <c r="N211" s="1">
        <f t="shared" si="26"/>
        <v>-1186351</v>
      </c>
      <c r="O211" s="4">
        <f t="shared" si="22"/>
        <v>-1.092555141133674</v>
      </c>
      <c r="P211" s="4">
        <f t="shared" si="23"/>
        <v>-133.33333333333331</v>
      </c>
      <c r="Q211" s="4">
        <f t="shared" si="24"/>
        <v>0</v>
      </c>
    </row>
    <row r="212" spans="1:17">
      <c r="A212" s="1" t="s">
        <v>234</v>
      </c>
      <c r="B212" s="1" t="s">
        <v>14</v>
      </c>
      <c r="C212" s="1" t="s">
        <v>15</v>
      </c>
      <c r="D212" s="1" t="s">
        <v>391</v>
      </c>
      <c r="E212" s="1">
        <v>36893</v>
      </c>
      <c r="F212" s="1">
        <v>270428</v>
      </c>
      <c r="G212" s="1">
        <f t="shared" si="21"/>
        <v>307321</v>
      </c>
      <c r="H212" s="1">
        <v>65929</v>
      </c>
      <c r="I212" s="1">
        <v>15</v>
      </c>
      <c r="J212" s="1">
        <v>38</v>
      </c>
      <c r="K212" s="1">
        <f t="shared" si="27"/>
        <v>2505302</v>
      </c>
      <c r="L212" s="1">
        <v>20</v>
      </c>
      <c r="M212" s="1">
        <f t="shared" si="25"/>
        <v>1186722</v>
      </c>
      <c r="N212" s="1">
        <f t="shared" si="26"/>
        <v>879401</v>
      </c>
      <c r="O212" s="4">
        <f t="shared" si="22"/>
        <v>0.74103370460815587</v>
      </c>
      <c r="P212" s="4">
        <f t="shared" si="23"/>
        <v>111.11111111111111</v>
      </c>
      <c r="Q212" s="4">
        <f t="shared" si="24"/>
        <v>5.9873021296434517E-4</v>
      </c>
    </row>
    <row r="213" spans="1:17">
      <c r="A213" s="1" t="s">
        <v>235</v>
      </c>
      <c r="B213" s="1" t="s">
        <v>17</v>
      </c>
      <c r="C213" s="1" t="s">
        <v>18</v>
      </c>
      <c r="D213" s="1" t="s">
        <v>391</v>
      </c>
      <c r="E213" s="1">
        <v>40462</v>
      </c>
      <c r="F213" s="1">
        <v>148697</v>
      </c>
      <c r="G213" s="1">
        <f t="shared" si="21"/>
        <v>189159</v>
      </c>
      <c r="H213" s="1">
        <v>51733</v>
      </c>
      <c r="I213" s="1">
        <v>5</v>
      </c>
      <c r="J213" s="1">
        <v>96</v>
      </c>
      <c r="K213" s="1">
        <f t="shared" si="27"/>
        <v>4966368</v>
      </c>
      <c r="L213" s="1">
        <v>4</v>
      </c>
      <c r="M213" s="1">
        <f t="shared" si="25"/>
        <v>4759436</v>
      </c>
      <c r="N213" s="1">
        <f t="shared" si="26"/>
        <v>4570277</v>
      </c>
      <c r="O213" s="4">
        <f t="shared" si="22"/>
        <v>0.96025600512329612</v>
      </c>
      <c r="P213" s="4">
        <f t="shared" si="23"/>
        <v>4.3478260869565215</v>
      </c>
      <c r="Q213" s="4">
        <f t="shared" si="24"/>
        <v>1.0067719508501989E-4</v>
      </c>
    </row>
    <row r="214" spans="1:17">
      <c r="A214" s="1" t="s">
        <v>236</v>
      </c>
      <c r="B214" s="1" t="s">
        <v>17</v>
      </c>
      <c r="C214" s="1" t="s">
        <v>15</v>
      </c>
      <c r="D214" s="1" t="s">
        <v>391</v>
      </c>
      <c r="E214" s="1">
        <v>40109</v>
      </c>
      <c r="F214" s="1">
        <v>86889</v>
      </c>
      <c r="G214" s="1">
        <f t="shared" si="21"/>
        <v>126998</v>
      </c>
      <c r="H214" s="1">
        <v>52766</v>
      </c>
      <c r="I214" s="1">
        <v>5</v>
      </c>
      <c r="J214" s="1">
        <v>113</v>
      </c>
      <c r="K214" s="1">
        <f t="shared" si="27"/>
        <v>5962558</v>
      </c>
      <c r="L214" s="1">
        <v>13</v>
      </c>
      <c r="M214" s="1">
        <f t="shared" si="25"/>
        <v>5276600</v>
      </c>
      <c r="N214" s="1">
        <f t="shared" si="26"/>
        <v>5149602</v>
      </c>
      <c r="O214" s="4">
        <f t="shared" si="22"/>
        <v>0.97593185005495964</v>
      </c>
      <c r="P214" s="4">
        <f t="shared" si="23"/>
        <v>13</v>
      </c>
      <c r="Q214" s="4">
        <f t="shared" si="24"/>
        <v>8.3856626635749276E-5</v>
      </c>
    </row>
    <row r="215" spans="1:17">
      <c r="A215" s="1" t="s">
        <v>237</v>
      </c>
      <c r="B215" s="1" t="s">
        <v>20</v>
      </c>
      <c r="C215" s="1" t="s">
        <v>18</v>
      </c>
      <c r="D215" s="1" t="s">
        <v>391</v>
      </c>
      <c r="E215" s="1">
        <v>39646</v>
      </c>
      <c r="F215" s="1">
        <v>207731</v>
      </c>
      <c r="G215" s="1">
        <f t="shared" si="21"/>
        <v>247377</v>
      </c>
      <c r="H215" s="1">
        <v>82512</v>
      </c>
      <c r="I215" s="1">
        <v>20</v>
      </c>
      <c r="J215" s="1">
        <v>55</v>
      </c>
      <c r="K215" s="1">
        <f t="shared" si="27"/>
        <v>4538160</v>
      </c>
      <c r="L215" s="1">
        <v>6</v>
      </c>
      <c r="M215" s="1">
        <f t="shared" si="25"/>
        <v>4043088</v>
      </c>
      <c r="N215" s="1">
        <f t="shared" si="26"/>
        <v>3795711</v>
      </c>
      <c r="O215" s="4">
        <f t="shared" si="22"/>
        <v>0.93881483658035636</v>
      </c>
      <c r="P215" s="4">
        <f t="shared" si="23"/>
        <v>12.244897959183673</v>
      </c>
      <c r="Q215" s="4">
        <f t="shared" si="24"/>
        <v>4.4070724698996953E-4</v>
      </c>
    </row>
    <row r="216" spans="1:17">
      <c r="A216" s="1" t="s">
        <v>238</v>
      </c>
      <c r="B216" s="1" t="s">
        <v>14</v>
      </c>
      <c r="C216" s="1" t="s">
        <v>18</v>
      </c>
      <c r="D216" s="1" t="s">
        <v>391</v>
      </c>
      <c r="E216" s="1">
        <v>16199</v>
      </c>
      <c r="F216" s="1">
        <v>94770</v>
      </c>
      <c r="G216" s="1">
        <f t="shared" si="21"/>
        <v>110969</v>
      </c>
      <c r="H216" s="1">
        <v>84506</v>
      </c>
      <c r="I216" s="1">
        <v>15</v>
      </c>
      <c r="J216" s="1">
        <v>118</v>
      </c>
      <c r="K216" s="1">
        <f t="shared" si="27"/>
        <v>9971708</v>
      </c>
      <c r="L216" s="1">
        <v>33</v>
      </c>
      <c r="M216" s="1">
        <f t="shared" si="25"/>
        <v>7183010</v>
      </c>
      <c r="N216" s="1">
        <f t="shared" si="26"/>
        <v>7072041</v>
      </c>
      <c r="O216" s="4">
        <f t="shared" si="22"/>
        <v>0.98455118397440622</v>
      </c>
      <c r="P216" s="4">
        <f t="shared" si="23"/>
        <v>38.82352941176471</v>
      </c>
      <c r="Q216" s="4">
        <f t="shared" si="24"/>
        <v>1.5042558406242943E-4</v>
      </c>
    </row>
    <row r="217" spans="1:17">
      <c r="A217" s="1" t="s">
        <v>239</v>
      </c>
      <c r="B217" s="1" t="s">
        <v>17</v>
      </c>
      <c r="C217" s="1" t="s">
        <v>21</v>
      </c>
      <c r="D217" s="1" t="s">
        <v>391</v>
      </c>
      <c r="E217" s="1">
        <v>28519</v>
      </c>
      <c r="F217" s="1">
        <v>255981</v>
      </c>
      <c r="G217" s="1">
        <f t="shared" si="21"/>
        <v>284500</v>
      </c>
      <c r="H217" s="1">
        <v>76066</v>
      </c>
      <c r="I217" s="1">
        <v>0</v>
      </c>
      <c r="J217" s="1">
        <v>89</v>
      </c>
      <c r="K217" s="1">
        <f t="shared" si="27"/>
        <v>6769874</v>
      </c>
      <c r="L217" s="1">
        <v>25</v>
      </c>
      <c r="M217" s="1">
        <f t="shared" si="25"/>
        <v>4868224</v>
      </c>
      <c r="N217" s="1">
        <f t="shared" si="26"/>
        <v>4583724</v>
      </c>
      <c r="O217" s="4">
        <f t="shared" si="22"/>
        <v>0.94155979675544921</v>
      </c>
      <c r="P217" s="4">
        <f t="shared" si="23"/>
        <v>39.0625</v>
      </c>
      <c r="Q217" s="4">
        <f t="shared" si="24"/>
        <v>0</v>
      </c>
    </row>
    <row r="218" spans="1:17">
      <c r="A218" s="1" t="s">
        <v>240</v>
      </c>
      <c r="B218" s="1" t="s">
        <v>17</v>
      </c>
      <c r="C218" s="1" t="s">
        <v>15</v>
      </c>
      <c r="D218" s="1" t="s">
        <v>392</v>
      </c>
      <c r="E218" s="1">
        <v>46909</v>
      </c>
      <c r="F218" s="1">
        <v>205942</v>
      </c>
      <c r="G218" s="1">
        <f t="shared" si="21"/>
        <v>252851</v>
      </c>
      <c r="H218" s="1">
        <v>36392</v>
      </c>
      <c r="I218" s="1">
        <v>10</v>
      </c>
      <c r="J218" s="1">
        <v>118</v>
      </c>
      <c r="K218" s="1">
        <f t="shared" si="27"/>
        <v>4294256</v>
      </c>
      <c r="L218" s="1">
        <v>18</v>
      </c>
      <c r="M218" s="1">
        <f t="shared" si="25"/>
        <v>3639200</v>
      </c>
      <c r="N218" s="1">
        <f t="shared" si="26"/>
        <v>3386349</v>
      </c>
      <c r="O218" s="4">
        <f t="shared" si="22"/>
        <v>0.93052016926797099</v>
      </c>
      <c r="P218" s="4">
        <f t="shared" si="23"/>
        <v>18</v>
      </c>
      <c r="Q218" s="4">
        <f t="shared" si="24"/>
        <v>2.3286920947423721E-4</v>
      </c>
    </row>
    <row r="219" spans="1:17">
      <c r="A219" s="1" t="s">
        <v>241</v>
      </c>
      <c r="B219" s="1" t="s">
        <v>14</v>
      </c>
      <c r="C219" s="1" t="s">
        <v>18</v>
      </c>
      <c r="D219" s="1" t="s">
        <v>392</v>
      </c>
      <c r="E219" s="1">
        <v>24096</v>
      </c>
      <c r="F219" s="1">
        <v>160119</v>
      </c>
      <c r="G219" s="1">
        <f t="shared" si="21"/>
        <v>184215</v>
      </c>
      <c r="H219" s="1">
        <v>32358</v>
      </c>
      <c r="I219" s="1">
        <v>10</v>
      </c>
      <c r="J219" s="1">
        <v>15</v>
      </c>
      <c r="K219" s="1">
        <f t="shared" si="27"/>
        <v>485370</v>
      </c>
      <c r="L219" s="1">
        <v>8</v>
      </c>
      <c r="M219" s="1">
        <f t="shared" si="25"/>
        <v>226506</v>
      </c>
      <c r="N219" s="1">
        <f t="shared" si="26"/>
        <v>42291</v>
      </c>
      <c r="O219" s="4">
        <f t="shared" si="22"/>
        <v>0.18671028582024318</v>
      </c>
      <c r="P219" s="4">
        <f t="shared" si="23"/>
        <v>114.28571428571428</v>
      </c>
      <c r="Q219" s="4">
        <f t="shared" si="24"/>
        <v>2.0602839071224015E-3</v>
      </c>
    </row>
    <row r="220" spans="1:17">
      <c r="A220" s="1" t="s">
        <v>242</v>
      </c>
      <c r="B220" s="1" t="s">
        <v>20</v>
      </c>
      <c r="C220" s="1" t="s">
        <v>29</v>
      </c>
      <c r="D220" s="1" t="s">
        <v>391</v>
      </c>
      <c r="E220" s="1">
        <v>40802</v>
      </c>
      <c r="F220" s="1">
        <v>382787</v>
      </c>
      <c r="G220" s="1">
        <f t="shared" si="21"/>
        <v>423589</v>
      </c>
      <c r="H220" s="1">
        <v>65437</v>
      </c>
      <c r="I220" s="1">
        <v>10</v>
      </c>
      <c r="J220" s="1">
        <v>43</v>
      </c>
      <c r="K220" s="1">
        <f t="shared" si="27"/>
        <v>2813791</v>
      </c>
      <c r="L220" s="1">
        <v>33</v>
      </c>
      <c r="M220" s="1">
        <f t="shared" si="25"/>
        <v>654370</v>
      </c>
      <c r="N220" s="1">
        <f t="shared" si="26"/>
        <v>230781</v>
      </c>
      <c r="O220" s="4">
        <f t="shared" si="22"/>
        <v>0.35267662026070878</v>
      </c>
      <c r="P220" s="4">
        <f t="shared" si="23"/>
        <v>330</v>
      </c>
      <c r="Q220" s="4">
        <f t="shared" si="24"/>
        <v>3.5539242253600212E-4</v>
      </c>
    </row>
    <row r="221" spans="1:17">
      <c r="A221" s="1" t="s">
        <v>243</v>
      </c>
      <c r="B221" s="1" t="s">
        <v>14</v>
      </c>
      <c r="C221" s="1" t="s">
        <v>15</v>
      </c>
      <c r="D221" s="1" t="s">
        <v>391</v>
      </c>
      <c r="E221" s="1">
        <v>37134</v>
      </c>
      <c r="F221" s="1">
        <v>340469</v>
      </c>
      <c r="G221" s="1">
        <f t="shared" si="21"/>
        <v>377603</v>
      </c>
      <c r="H221" s="1">
        <v>77922</v>
      </c>
      <c r="I221" s="1">
        <v>0</v>
      </c>
      <c r="J221" s="1">
        <v>13</v>
      </c>
      <c r="K221" s="1">
        <f t="shared" si="27"/>
        <v>1012986</v>
      </c>
      <c r="L221" s="1">
        <v>40</v>
      </c>
      <c r="M221" s="1">
        <f t="shared" si="25"/>
        <v>-2103894</v>
      </c>
      <c r="N221" s="1">
        <f t="shared" si="26"/>
        <v>-2481497</v>
      </c>
      <c r="O221" s="4">
        <f t="shared" si="22"/>
        <v>-1.1794781486139512</v>
      </c>
      <c r="P221" s="4">
        <f t="shared" si="23"/>
        <v>-148.14814814814815</v>
      </c>
      <c r="Q221" s="4">
        <f t="shared" si="24"/>
        <v>0</v>
      </c>
    </row>
    <row r="222" spans="1:17">
      <c r="A222" s="1" t="s">
        <v>244</v>
      </c>
      <c r="B222" s="1" t="s">
        <v>26</v>
      </c>
      <c r="C222" s="1" t="s">
        <v>29</v>
      </c>
      <c r="D222" s="1" t="s">
        <v>392</v>
      </c>
      <c r="E222" s="1">
        <v>31565</v>
      </c>
      <c r="F222" s="1">
        <v>234086</v>
      </c>
      <c r="G222" s="1">
        <f t="shared" si="21"/>
        <v>265651</v>
      </c>
      <c r="H222" s="1">
        <v>66703</v>
      </c>
      <c r="I222" s="1">
        <v>0</v>
      </c>
      <c r="J222" s="1">
        <v>61</v>
      </c>
      <c r="K222" s="1">
        <f t="shared" si="27"/>
        <v>4068883</v>
      </c>
      <c r="L222" s="1">
        <v>28</v>
      </c>
      <c r="M222" s="1">
        <f t="shared" si="25"/>
        <v>2201199</v>
      </c>
      <c r="N222" s="1">
        <f t="shared" si="26"/>
        <v>1935548</v>
      </c>
      <c r="O222" s="4">
        <f t="shared" si="22"/>
        <v>0.87931531860590528</v>
      </c>
      <c r="P222" s="4">
        <f t="shared" si="23"/>
        <v>84.848484848484844</v>
      </c>
      <c r="Q222" s="4">
        <f t="shared" si="24"/>
        <v>0</v>
      </c>
    </row>
    <row r="223" spans="1:17">
      <c r="A223" s="1" t="s">
        <v>245</v>
      </c>
      <c r="B223" s="1" t="s">
        <v>26</v>
      </c>
      <c r="C223" s="1" t="s">
        <v>18</v>
      </c>
      <c r="D223" s="1" t="s">
        <v>392</v>
      </c>
      <c r="E223" s="1">
        <v>6861</v>
      </c>
      <c r="F223" s="1">
        <v>268419</v>
      </c>
      <c r="G223" s="1">
        <f t="shared" si="21"/>
        <v>275280</v>
      </c>
      <c r="H223" s="1">
        <v>40453</v>
      </c>
      <c r="I223" s="1">
        <v>10</v>
      </c>
      <c r="J223" s="1">
        <v>70</v>
      </c>
      <c r="K223" s="1">
        <f t="shared" si="27"/>
        <v>2831710</v>
      </c>
      <c r="L223" s="1">
        <v>39</v>
      </c>
      <c r="M223" s="1">
        <f t="shared" si="25"/>
        <v>1254043</v>
      </c>
      <c r="N223" s="1">
        <f t="shared" si="26"/>
        <v>978763</v>
      </c>
      <c r="O223" s="4">
        <f t="shared" si="22"/>
        <v>0.78048599609423286</v>
      </c>
      <c r="P223" s="4">
        <f t="shared" si="23"/>
        <v>125.80645161290323</v>
      </c>
      <c r="Q223" s="4">
        <f t="shared" si="24"/>
        <v>3.5314350692690989E-4</v>
      </c>
    </row>
    <row r="224" spans="1:17">
      <c r="A224" s="1" t="s">
        <v>246</v>
      </c>
      <c r="B224" s="1" t="s">
        <v>26</v>
      </c>
      <c r="C224" s="1" t="s">
        <v>18</v>
      </c>
      <c r="D224" s="1" t="s">
        <v>391</v>
      </c>
      <c r="E224" s="1">
        <v>19965</v>
      </c>
      <c r="F224" s="1">
        <v>388062</v>
      </c>
      <c r="G224" s="1">
        <f t="shared" si="21"/>
        <v>408027</v>
      </c>
      <c r="H224" s="1">
        <v>52604</v>
      </c>
      <c r="I224" s="1">
        <v>5</v>
      </c>
      <c r="J224" s="1">
        <v>118</v>
      </c>
      <c r="K224" s="1">
        <f t="shared" si="27"/>
        <v>6207272</v>
      </c>
      <c r="L224" s="1">
        <v>24</v>
      </c>
      <c r="M224" s="1">
        <f t="shared" si="25"/>
        <v>4944776</v>
      </c>
      <c r="N224" s="1">
        <f t="shared" si="26"/>
        <v>4536749</v>
      </c>
      <c r="O224" s="4">
        <f t="shared" si="22"/>
        <v>0.91748321865338289</v>
      </c>
      <c r="P224" s="4">
        <f t="shared" si="23"/>
        <v>25.531914893617021</v>
      </c>
      <c r="Q224" s="4">
        <f t="shared" si="24"/>
        <v>8.0550683134233514E-5</v>
      </c>
    </row>
    <row r="225" spans="1:17">
      <c r="A225" s="1" t="s">
        <v>247</v>
      </c>
      <c r="B225" s="1" t="s">
        <v>17</v>
      </c>
      <c r="C225" s="1" t="s">
        <v>18</v>
      </c>
      <c r="D225" s="1" t="s">
        <v>391</v>
      </c>
      <c r="E225" s="1">
        <v>8569</v>
      </c>
      <c r="F225" s="1">
        <v>289195</v>
      </c>
      <c r="G225" s="1">
        <f t="shared" si="21"/>
        <v>297764</v>
      </c>
      <c r="H225" s="1">
        <v>63151</v>
      </c>
      <c r="I225" s="1">
        <v>0</v>
      </c>
      <c r="J225" s="1">
        <v>8</v>
      </c>
      <c r="K225" s="1">
        <f t="shared" si="27"/>
        <v>505208</v>
      </c>
      <c r="L225" s="1">
        <v>28</v>
      </c>
      <c r="M225" s="1">
        <f t="shared" si="25"/>
        <v>-1263020</v>
      </c>
      <c r="N225" s="1">
        <f t="shared" si="26"/>
        <v>-1560784</v>
      </c>
      <c r="O225" s="4">
        <f t="shared" si="22"/>
        <v>-1.2357555699830565</v>
      </c>
      <c r="P225" s="4">
        <f t="shared" si="23"/>
        <v>-140</v>
      </c>
      <c r="Q225" s="4">
        <f t="shared" si="24"/>
        <v>0</v>
      </c>
    </row>
    <row r="226" spans="1:17">
      <c r="A226" s="1" t="s">
        <v>248</v>
      </c>
      <c r="B226" s="1" t="s">
        <v>17</v>
      </c>
      <c r="C226" s="1" t="s">
        <v>29</v>
      </c>
      <c r="D226" s="1" t="s">
        <v>392</v>
      </c>
      <c r="E226" s="1">
        <v>34503</v>
      </c>
      <c r="F226" s="1">
        <v>355589</v>
      </c>
      <c r="G226" s="1">
        <f t="shared" si="21"/>
        <v>390092</v>
      </c>
      <c r="H226" s="1">
        <v>38127</v>
      </c>
      <c r="I226" s="1">
        <v>20</v>
      </c>
      <c r="J226" s="1">
        <v>72</v>
      </c>
      <c r="K226" s="1">
        <f t="shared" si="27"/>
        <v>2745144</v>
      </c>
      <c r="L226" s="1">
        <v>0</v>
      </c>
      <c r="M226" s="1">
        <f t="shared" si="25"/>
        <v>2745144</v>
      </c>
      <c r="N226" s="1">
        <f t="shared" si="26"/>
        <v>2355052</v>
      </c>
      <c r="O226" s="4">
        <f t="shared" si="22"/>
        <v>0.85789743634578008</v>
      </c>
      <c r="P226" s="4">
        <f t="shared" si="23"/>
        <v>0</v>
      </c>
      <c r="Q226" s="4">
        <f t="shared" si="24"/>
        <v>7.2855923040831378E-4</v>
      </c>
    </row>
    <row r="227" spans="1:17">
      <c r="A227" s="1" t="s">
        <v>249</v>
      </c>
      <c r="B227" s="1" t="s">
        <v>26</v>
      </c>
      <c r="C227" s="1" t="s">
        <v>31</v>
      </c>
      <c r="D227" s="1" t="s">
        <v>392</v>
      </c>
      <c r="E227" s="1">
        <v>17394</v>
      </c>
      <c r="F227" s="1">
        <v>116459</v>
      </c>
      <c r="G227" s="1">
        <f t="shared" si="21"/>
        <v>133853</v>
      </c>
      <c r="H227" s="1">
        <v>65591</v>
      </c>
      <c r="I227" s="1">
        <v>15</v>
      </c>
      <c r="J227" s="1">
        <v>71</v>
      </c>
      <c r="K227" s="1">
        <f t="shared" si="27"/>
        <v>4656961</v>
      </c>
      <c r="L227" s="1">
        <v>13</v>
      </c>
      <c r="M227" s="1">
        <f t="shared" si="25"/>
        <v>3804278</v>
      </c>
      <c r="N227" s="1">
        <f t="shared" si="26"/>
        <v>3670425</v>
      </c>
      <c r="O227" s="4">
        <f t="shared" si="22"/>
        <v>0.9648151370641157</v>
      </c>
      <c r="P227" s="4">
        <f t="shared" si="23"/>
        <v>22.413793103448278</v>
      </c>
      <c r="Q227" s="4">
        <f t="shared" si="24"/>
        <v>3.2209846721928739E-4</v>
      </c>
    </row>
    <row r="228" spans="1:17">
      <c r="A228" s="1" t="s">
        <v>250</v>
      </c>
      <c r="B228" s="1" t="s">
        <v>17</v>
      </c>
      <c r="C228" s="1" t="s">
        <v>29</v>
      </c>
      <c r="D228" s="1" t="s">
        <v>391</v>
      </c>
      <c r="E228" s="1">
        <v>32857</v>
      </c>
      <c r="F228" s="1">
        <v>200063</v>
      </c>
      <c r="G228" s="1">
        <f t="shared" si="21"/>
        <v>232920</v>
      </c>
      <c r="H228" s="1">
        <v>67887</v>
      </c>
      <c r="I228" s="1">
        <v>0</v>
      </c>
      <c r="J228" s="1">
        <v>45</v>
      </c>
      <c r="K228" s="1">
        <f t="shared" si="27"/>
        <v>3054915</v>
      </c>
      <c r="L228" s="1">
        <v>23</v>
      </c>
      <c r="M228" s="1">
        <f t="shared" si="25"/>
        <v>1493514</v>
      </c>
      <c r="N228" s="1">
        <f t="shared" si="26"/>
        <v>1260594</v>
      </c>
      <c r="O228" s="4">
        <f t="shared" si="22"/>
        <v>0.84404565340532467</v>
      </c>
      <c r="P228" s="4">
        <f t="shared" si="23"/>
        <v>104.54545454545455</v>
      </c>
      <c r="Q228" s="4">
        <f t="shared" si="24"/>
        <v>0</v>
      </c>
    </row>
    <row r="229" spans="1:17">
      <c r="A229" s="1" t="s">
        <v>251</v>
      </c>
      <c r="B229" s="1" t="s">
        <v>20</v>
      </c>
      <c r="C229" s="1" t="s">
        <v>21</v>
      </c>
      <c r="D229" s="1" t="s">
        <v>391</v>
      </c>
      <c r="E229" s="1">
        <v>18228</v>
      </c>
      <c r="F229" s="1">
        <v>156485</v>
      </c>
      <c r="G229" s="1">
        <f t="shared" si="21"/>
        <v>174713</v>
      </c>
      <c r="H229" s="1">
        <v>74764</v>
      </c>
      <c r="I229" s="1">
        <v>20</v>
      </c>
      <c r="J229" s="1">
        <v>32</v>
      </c>
      <c r="K229" s="1">
        <f t="shared" si="27"/>
        <v>2392448</v>
      </c>
      <c r="L229" s="1">
        <v>0</v>
      </c>
      <c r="M229" s="1">
        <f t="shared" si="25"/>
        <v>2392448</v>
      </c>
      <c r="N229" s="1">
        <f t="shared" si="26"/>
        <v>2217735</v>
      </c>
      <c r="O229" s="4">
        <f t="shared" si="22"/>
        <v>0.92697312543470123</v>
      </c>
      <c r="P229" s="4">
        <f t="shared" si="23"/>
        <v>0</v>
      </c>
      <c r="Q229" s="4">
        <f t="shared" si="24"/>
        <v>8.3596383286073514E-4</v>
      </c>
    </row>
    <row r="230" spans="1:17">
      <c r="A230" s="1" t="s">
        <v>252</v>
      </c>
      <c r="B230" s="1" t="s">
        <v>17</v>
      </c>
      <c r="C230" s="1" t="s">
        <v>18</v>
      </c>
      <c r="D230" s="1" t="s">
        <v>391</v>
      </c>
      <c r="E230" s="1">
        <v>9170</v>
      </c>
      <c r="F230" s="1">
        <v>339130</v>
      </c>
      <c r="G230" s="1">
        <f t="shared" si="21"/>
        <v>348300</v>
      </c>
      <c r="H230" s="1">
        <v>81208</v>
      </c>
      <c r="I230" s="1">
        <v>20</v>
      </c>
      <c r="J230" s="1">
        <v>80</v>
      </c>
      <c r="K230" s="1">
        <f t="shared" si="27"/>
        <v>6496640</v>
      </c>
      <c r="L230" s="1">
        <v>10</v>
      </c>
      <c r="M230" s="1">
        <f t="shared" si="25"/>
        <v>5684560</v>
      </c>
      <c r="N230" s="1">
        <f t="shared" si="26"/>
        <v>5336260</v>
      </c>
      <c r="O230" s="4">
        <f t="shared" si="22"/>
        <v>0.93872876704617425</v>
      </c>
      <c r="P230" s="4">
        <f t="shared" si="23"/>
        <v>14.285714285714285</v>
      </c>
      <c r="Q230" s="4">
        <f t="shared" si="24"/>
        <v>3.0785144320756574E-4</v>
      </c>
    </row>
    <row r="231" spans="1:17">
      <c r="A231" s="1" t="s">
        <v>253</v>
      </c>
      <c r="B231" s="1" t="s">
        <v>17</v>
      </c>
      <c r="C231" s="1" t="s">
        <v>18</v>
      </c>
      <c r="D231" s="1" t="s">
        <v>392</v>
      </c>
      <c r="E231" s="1">
        <v>25666</v>
      </c>
      <c r="F231" s="1">
        <v>97375</v>
      </c>
      <c r="G231" s="1">
        <f t="shared" si="21"/>
        <v>123041</v>
      </c>
      <c r="H231" s="1">
        <v>22514</v>
      </c>
      <c r="I231" s="1">
        <v>10</v>
      </c>
      <c r="J231" s="1">
        <v>23</v>
      </c>
      <c r="K231" s="1">
        <f t="shared" si="27"/>
        <v>517822</v>
      </c>
      <c r="L231" s="1">
        <v>0</v>
      </c>
      <c r="M231" s="1">
        <f t="shared" si="25"/>
        <v>517822</v>
      </c>
      <c r="N231" s="1">
        <f t="shared" si="26"/>
        <v>394781</v>
      </c>
      <c r="O231" s="4">
        <f t="shared" si="22"/>
        <v>0.76238746132841018</v>
      </c>
      <c r="P231" s="4">
        <f t="shared" si="23"/>
        <v>0</v>
      </c>
      <c r="Q231" s="4">
        <f t="shared" si="24"/>
        <v>1.9311655356473846E-3</v>
      </c>
    </row>
    <row r="232" spans="1:17">
      <c r="A232" s="1" t="s">
        <v>254</v>
      </c>
      <c r="B232" s="1" t="s">
        <v>14</v>
      </c>
      <c r="C232" s="1" t="s">
        <v>29</v>
      </c>
      <c r="D232" s="1" t="s">
        <v>392</v>
      </c>
      <c r="E232" s="1">
        <v>45941</v>
      </c>
      <c r="F232" s="1">
        <v>100940</v>
      </c>
      <c r="G232" s="1">
        <f t="shared" si="21"/>
        <v>146881</v>
      </c>
      <c r="H232" s="1">
        <v>21125</v>
      </c>
      <c r="I232" s="1">
        <v>5</v>
      </c>
      <c r="J232" s="1">
        <v>142</v>
      </c>
      <c r="K232" s="1">
        <f t="shared" si="27"/>
        <v>2999750</v>
      </c>
      <c r="L232" s="1">
        <v>40</v>
      </c>
      <c r="M232" s="1">
        <f t="shared" si="25"/>
        <v>2154750</v>
      </c>
      <c r="N232" s="1">
        <f t="shared" si="26"/>
        <v>2007869</v>
      </c>
      <c r="O232" s="4">
        <f t="shared" si="22"/>
        <v>0.93183385543566544</v>
      </c>
      <c r="P232" s="4">
        <f t="shared" si="23"/>
        <v>39.215686274509807</v>
      </c>
      <c r="Q232" s="4">
        <f t="shared" si="24"/>
        <v>1.6668055671305944E-4</v>
      </c>
    </row>
    <row r="233" spans="1:17">
      <c r="A233" s="1" t="s">
        <v>255</v>
      </c>
      <c r="B233" s="1" t="s">
        <v>26</v>
      </c>
      <c r="C233" s="1" t="s">
        <v>18</v>
      </c>
      <c r="D233" s="1" t="s">
        <v>392</v>
      </c>
      <c r="E233" s="1">
        <v>41286</v>
      </c>
      <c r="F233" s="1">
        <v>284477</v>
      </c>
      <c r="G233" s="1">
        <f t="shared" si="21"/>
        <v>325763</v>
      </c>
      <c r="H233" s="1">
        <v>24175</v>
      </c>
      <c r="I233" s="1">
        <v>0</v>
      </c>
      <c r="J233" s="1">
        <v>135</v>
      </c>
      <c r="K233" s="1">
        <f t="shared" si="27"/>
        <v>3263625</v>
      </c>
      <c r="L233" s="1">
        <v>22</v>
      </c>
      <c r="M233" s="1">
        <f t="shared" si="25"/>
        <v>2731775</v>
      </c>
      <c r="N233" s="1">
        <f t="shared" si="26"/>
        <v>2406012</v>
      </c>
      <c r="O233" s="4">
        <f t="shared" si="22"/>
        <v>0.88075042783538171</v>
      </c>
      <c r="P233" s="4">
        <f t="shared" si="23"/>
        <v>19.469026548672566</v>
      </c>
      <c r="Q233" s="4">
        <f t="shared" si="24"/>
        <v>0</v>
      </c>
    </row>
    <row r="234" spans="1:17">
      <c r="A234" s="1" t="s">
        <v>256</v>
      </c>
      <c r="B234" s="1" t="s">
        <v>20</v>
      </c>
      <c r="C234" s="1" t="s">
        <v>21</v>
      </c>
      <c r="D234" s="1" t="s">
        <v>391</v>
      </c>
      <c r="E234" s="1">
        <v>41044</v>
      </c>
      <c r="F234" s="1">
        <v>234237</v>
      </c>
      <c r="G234" s="1">
        <f t="shared" si="21"/>
        <v>275281</v>
      </c>
      <c r="H234" s="1">
        <v>58919</v>
      </c>
      <c r="I234" s="1">
        <v>10</v>
      </c>
      <c r="J234" s="1">
        <v>118</v>
      </c>
      <c r="K234" s="1">
        <f t="shared" si="27"/>
        <v>6952442</v>
      </c>
      <c r="L234" s="1">
        <v>25</v>
      </c>
      <c r="M234" s="1">
        <f t="shared" si="25"/>
        <v>5479467</v>
      </c>
      <c r="N234" s="1">
        <f t="shared" si="26"/>
        <v>5204186</v>
      </c>
      <c r="O234" s="4">
        <f t="shared" si="22"/>
        <v>0.94976135452590549</v>
      </c>
      <c r="P234" s="4">
        <f t="shared" si="23"/>
        <v>26.881720430107524</v>
      </c>
      <c r="Q234" s="4">
        <f t="shared" si="24"/>
        <v>1.4383435345451283E-4</v>
      </c>
    </row>
    <row r="235" spans="1:17">
      <c r="A235" s="1" t="s">
        <v>257</v>
      </c>
      <c r="B235" s="1" t="s">
        <v>17</v>
      </c>
      <c r="C235" s="1" t="s">
        <v>21</v>
      </c>
      <c r="D235" s="1" t="s">
        <v>392</v>
      </c>
      <c r="E235" s="1">
        <v>37914</v>
      </c>
      <c r="F235" s="1">
        <v>367806</v>
      </c>
      <c r="G235" s="1">
        <f t="shared" si="21"/>
        <v>405720</v>
      </c>
      <c r="H235" s="1">
        <v>66037</v>
      </c>
      <c r="I235" s="1">
        <v>0</v>
      </c>
      <c r="J235" s="1">
        <v>93</v>
      </c>
      <c r="K235" s="1">
        <f t="shared" si="27"/>
        <v>6141441</v>
      </c>
      <c r="L235" s="1">
        <v>14</v>
      </c>
      <c r="M235" s="1">
        <f t="shared" si="25"/>
        <v>5216923</v>
      </c>
      <c r="N235" s="1">
        <f t="shared" si="26"/>
        <v>4811203</v>
      </c>
      <c r="O235" s="4">
        <f t="shared" si="22"/>
        <v>0.92223001949616656</v>
      </c>
      <c r="P235" s="4">
        <f t="shared" si="23"/>
        <v>17.721518987341771</v>
      </c>
      <c r="Q235" s="4">
        <f t="shared" si="24"/>
        <v>0</v>
      </c>
    </row>
    <row r="236" spans="1:17">
      <c r="A236" s="1" t="s">
        <v>258</v>
      </c>
      <c r="B236" s="1" t="s">
        <v>17</v>
      </c>
      <c r="C236" s="1" t="s">
        <v>21</v>
      </c>
      <c r="D236" s="1" t="s">
        <v>391</v>
      </c>
      <c r="E236" s="1">
        <v>10890</v>
      </c>
      <c r="F236" s="1">
        <v>142925</v>
      </c>
      <c r="G236" s="1">
        <f t="shared" si="21"/>
        <v>153815</v>
      </c>
      <c r="H236" s="1">
        <v>72243</v>
      </c>
      <c r="I236" s="1">
        <v>20</v>
      </c>
      <c r="J236" s="1">
        <v>37</v>
      </c>
      <c r="K236" s="1">
        <f t="shared" si="27"/>
        <v>2672991</v>
      </c>
      <c r="L236" s="1">
        <v>23</v>
      </c>
      <c r="M236" s="1">
        <f t="shared" si="25"/>
        <v>1011402</v>
      </c>
      <c r="N236" s="1">
        <f t="shared" si="26"/>
        <v>857587</v>
      </c>
      <c r="O236" s="4">
        <f t="shared" si="22"/>
        <v>0.84791902725128088</v>
      </c>
      <c r="P236" s="4">
        <f t="shared" si="23"/>
        <v>164.28571428571428</v>
      </c>
      <c r="Q236" s="4">
        <f t="shared" si="24"/>
        <v>7.4822548972293585E-4</v>
      </c>
    </row>
    <row r="237" spans="1:17">
      <c r="A237" s="1" t="s">
        <v>259</v>
      </c>
      <c r="B237" s="1" t="s">
        <v>26</v>
      </c>
      <c r="C237" s="1" t="s">
        <v>29</v>
      </c>
      <c r="D237" s="1" t="s">
        <v>392</v>
      </c>
      <c r="E237" s="1">
        <v>40611</v>
      </c>
      <c r="F237" s="1">
        <v>186886</v>
      </c>
      <c r="G237" s="1">
        <f t="shared" si="21"/>
        <v>227497</v>
      </c>
      <c r="H237" s="1">
        <v>71286</v>
      </c>
      <c r="I237" s="1">
        <v>0</v>
      </c>
      <c r="J237" s="1">
        <v>65</v>
      </c>
      <c r="K237" s="1">
        <f t="shared" si="27"/>
        <v>4633590</v>
      </c>
      <c r="L237" s="1">
        <v>6</v>
      </c>
      <c r="M237" s="1">
        <f t="shared" si="25"/>
        <v>4205874</v>
      </c>
      <c r="N237" s="1">
        <f t="shared" si="26"/>
        <v>3978377</v>
      </c>
      <c r="O237" s="4">
        <f t="shared" si="22"/>
        <v>0.94590969677170544</v>
      </c>
      <c r="P237" s="4">
        <f t="shared" si="23"/>
        <v>10.16949152542373</v>
      </c>
      <c r="Q237" s="4">
        <f t="shared" si="24"/>
        <v>0</v>
      </c>
    </row>
    <row r="238" spans="1:17">
      <c r="A238" s="1" t="s">
        <v>260</v>
      </c>
      <c r="B238" s="1" t="s">
        <v>26</v>
      </c>
      <c r="C238" s="1" t="s">
        <v>21</v>
      </c>
      <c r="D238" s="1" t="s">
        <v>392</v>
      </c>
      <c r="E238" s="1">
        <v>37852</v>
      </c>
      <c r="F238" s="1">
        <v>98573</v>
      </c>
      <c r="G238" s="1">
        <f t="shared" si="21"/>
        <v>136425</v>
      </c>
      <c r="H238" s="1">
        <v>32319</v>
      </c>
      <c r="I238" s="1">
        <v>15</v>
      </c>
      <c r="J238" s="1">
        <v>14</v>
      </c>
      <c r="K238" s="1">
        <f t="shared" si="27"/>
        <v>452466</v>
      </c>
      <c r="L238" s="1">
        <v>2</v>
      </c>
      <c r="M238" s="1">
        <f t="shared" si="25"/>
        <v>387828</v>
      </c>
      <c r="N238" s="1">
        <f t="shared" si="26"/>
        <v>251403</v>
      </c>
      <c r="O238" s="4">
        <f t="shared" si="22"/>
        <v>0.64823323741452399</v>
      </c>
      <c r="P238" s="4">
        <f t="shared" si="23"/>
        <v>16.666666666666664</v>
      </c>
      <c r="Q238" s="4">
        <f t="shared" si="24"/>
        <v>3.3151662224343926E-3</v>
      </c>
    </row>
    <row r="239" spans="1:17">
      <c r="A239" s="1" t="s">
        <v>261</v>
      </c>
      <c r="B239" s="1" t="s">
        <v>17</v>
      </c>
      <c r="C239" s="1" t="s">
        <v>29</v>
      </c>
      <c r="D239" s="1" t="s">
        <v>391</v>
      </c>
      <c r="E239" s="1">
        <v>29221</v>
      </c>
      <c r="F239" s="1">
        <v>335031</v>
      </c>
      <c r="G239" s="1">
        <f t="shared" si="21"/>
        <v>364252</v>
      </c>
      <c r="H239" s="1">
        <v>71551</v>
      </c>
      <c r="I239" s="1">
        <v>15</v>
      </c>
      <c r="J239" s="1">
        <v>124</v>
      </c>
      <c r="K239" s="1">
        <f t="shared" si="27"/>
        <v>8872324</v>
      </c>
      <c r="L239" s="1">
        <v>16</v>
      </c>
      <c r="M239" s="1">
        <f t="shared" si="25"/>
        <v>7727508</v>
      </c>
      <c r="N239" s="1">
        <f t="shared" si="26"/>
        <v>7363256</v>
      </c>
      <c r="O239" s="4">
        <f t="shared" si="22"/>
        <v>0.95286294106715907</v>
      </c>
      <c r="P239" s="4">
        <f t="shared" si="23"/>
        <v>14.814814814814813</v>
      </c>
      <c r="Q239" s="4">
        <f t="shared" si="24"/>
        <v>1.6906506119478956E-4</v>
      </c>
    </row>
    <row r="240" spans="1:17">
      <c r="A240" s="1" t="s">
        <v>262</v>
      </c>
      <c r="B240" s="1" t="s">
        <v>26</v>
      </c>
      <c r="C240" s="1" t="s">
        <v>15</v>
      </c>
      <c r="D240" s="1" t="s">
        <v>392</v>
      </c>
      <c r="E240" s="1">
        <v>21349</v>
      </c>
      <c r="F240" s="1">
        <v>221383</v>
      </c>
      <c r="G240" s="1">
        <f t="shared" si="21"/>
        <v>242732</v>
      </c>
      <c r="H240" s="1">
        <v>35626</v>
      </c>
      <c r="I240" s="1">
        <v>15</v>
      </c>
      <c r="J240" s="1">
        <v>44</v>
      </c>
      <c r="K240" s="1">
        <f t="shared" si="27"/>
        <v>1567544</v>
      </c>
      <c r="L240" s="1">
        <v>17</v>
      </c>
      <c r="M240" s="1">
        <f t="shared" si="25"/>
        <v>961902</v>
      </c>
      <c r="N240" s="1">
        <f t="shared" si="26"/>
        <v>719170</v>
      </c>
      <c r="O240" s="4">
        <f t="shared" si="22"/>
        <v>0.74765412692769118</v>
      </c>
      <c r="P240" s="4">
        <f t="shared" si="23"/>
        <v>62.962962962962962</v>
      </c>
      <c r="Q240" s="4">
        <f t="shared" si="24"/>
        <v>9.5691093838514265E-4</v>
      </c>
    </row>
    <row r="241" spans="1:17">
      <c r="A241" s="1" t="s">
        <v>263</v>
      </c>
      <c r="B241" s="1" t="s">
        <v>14</v>
      </c>
      <c r="C241" s="1" t="s">
        <v>18</v>
      </c>
      <c r="D241" s="1" t="s">
        <v>391</v>
      </c>
      <c r="E241" s="1">
        <v>20874</v>
      </c>
      <c r="F241" s="1">
        <v>62130</v>
      </c>
      <c r="G241" s="1">
        <f t="shared" si="21"/>
        <v>83004</v>
      </c>
      <c r="H241" s="1">
        <v>17587</v>
      </c>
      <c r="I241" s="1">
        <v>20</v>
      </c>
      <c r="J241" s="1">
        <v>10</v>
      </c>
      <c r="K241" s="1">
        <f t="shared" si="27"/>
        <v>175870</v>
      </c>
      <c r="L241" s="1">
        <v>38</v>
      </c>
      <c r="M241" s="1">
        <f t="shared" si="25"/>
        <v>-492436</v>
      </c>
      <c r="N241" s="1">
        <f t="shared" si="26"/>
        <v>-575440</v>
      </c>
      <c r="O241" s="4">
        <f t="shared" si="22"/>
        <v>-1.1685579445856924</v>
      </c>
      <c r="P241" s="4">
        <f t="shared" si="23"/>
        <v>-135.71428571428572</v>
      </c>
      <c r="Q241" s="4">
        <f t="shared" si="24"/>
        <v>1.1372036163075E-2</v>
      </c>
    </row>
    <row r="242" spans="1:17">
      <c r="A242" s="1" t="s">
        <v>264</v>
      </c>
      <c r="B242" s="1" t="s">
        <v>26</v>
      </c>
      <c r="C242" s="1" t="s">
        <v>15</v>
      </c>
      <c r="D242" s="1" t="s">
        <v>391</v>
      </c>
      <c r="E242" s="1">
        <v>48586</v>
      </c>
      <c r="F242" s="1">
        <v>242059</v>
      </c>
      <c r="G242" s="1">
        <f t="shared" si="21"/>
        <v>290645</v>
      </c>
      <c r="H242" s="1">
        <v>20003</v>
      </c>
      <c r="I242" s="1">
        <v>20</v>
      </c>
      <c r="J242" s="1">
        <v>28</v>
      </c>
      <c r="K242" s="1">
        <f t="shared" si="27"/>
        <v>560084</v>
      </c>
      <c r="L242" s="1">
        <v>40</v>
      </c>
      <c r="M242" s="1">
        <f t="shared" si="25"/>
        <v>-240036</v>
      </c>
      <c r="N242" s="1">
        <f t="shared" si="26"/>
        <v>-530681</v>
      </c>
      <c r="O242" s="4">
        <f t="shared" si="22"/>
        <v>-2.2108392074522154</v>
      </c>
      <c r="P242" s="4">
        <f t="shared" si="23"/>
        <v>-333.33333333333337</v>
      </c>
      <c r="Q242" s="4">
        <f t="shared" si="24"/>
        <v>3.5708929374879484E-3</v>
      </c>
    </row>
    <row r="243" spans="1:17">
      <c r="A243" s="1" t="s">
        <v>265</v>
      </c>
      <c r="B243" s="1" t="s">
        <v>14</v>
      </c>
      <c r="C243" s="1" t="s">
        <v>15</v>
      </c>
      <c r="D243" s="1" t="s">
        <v>391</v>
      </c>
      <c r="E243" s="1">
        <v>32924</v>
      </c>
      <c r="F243" s="1">
        <v>59647</v>
      </c>
      <c r="G243" s="1">
        <f t="shared" si="21"/>
        <v>92571</v>
      </c>
      <c r="H243" s="1">
        <v>61326</v>
      </c>
      <c r="I243" s="1">
        <v>20</v>
      </c>
      <c r="J243" s="1">
        <v>114</v>
      </c>
      <c r="K243" s="1">
        <f t="shared" si="27"/>
        <v>6991164</v>
      </c>
      <c r="L243" s="1">
        <v>21</v>
      </c>
      <c r="M243" s="1">
        <f t="shared" si="25"/>
        <v>5703318</v>
      </c>
      <c r="N243" s="1">
        <f t="shared" si="26"/>
        <v>5610747</v>
      </c>
      <c r="O243" s="4">
        <f t="shared" si="22"/>
        <v>0.98376892188021081</v>
      </c>
      <c r="P243" s="4">
        <f t="shared" si="23"/>
        <v>22.58064516129032</v>
      </c>
      <c r="Q243" s="4">
        <f t="shared" si="24"/>
        <v>2.8607539459809557E-4</v>
      </c>
    </row>
    <row r="244" spans="1:17">
      <c r="A244" s="1" t="s">
        <v>266</v>
      </c>
      <c r="B244" s="1" t="s">
        <v>20</v>
      </c>
      <c r="C244" s="1" t="s">
        <v>29</v>
      </c>
      <c r="D244" s="1" t="s">
        <v>392</v>
      </c>
      <c r="E244" s="1">
        <v>19160</v>
      </c>
      <c r="F244" s="1">
        <v>249587</v>
      </c>
      <c r="G244" s="1">
        <f t="shared" si="21"/>
        <v>268747</v>
      </c>
      <c r="H244" s="1">
        <v>68862</v>
      </c>
      <c r="I244" s="1">
        <v>5</v>
      </c>
      <c r="J244" s="1">
        <v>106</v>
      </c>
      <c r="K244" s="1">
        <f t="shared" si="27"/>
        <v>7299372</v>
      </c>
      <c r="L244" s="1">
        <v>33</v>
      </c>
      <c r="M244" s="1">
        <f t="shared" si="25"/>
        <v>5026926</v>
      </c>
      <c r="N244" s="1">
        <f t="shared" si="26"/>
        <v>4758179</v>
      </c>
      <c r="O244" s="4">
        <f t="shared" si="22"/>
        <v>0.94653850086514102</v>
      </c>
      <c r="P244" s="4">
        <f t="shared" si="23"/>
        <v>45.205479452054789</v>
      </c>
      <c r="Q244" s="4">
        <f t="shared" si="24"/>
        <v>6.8499043479356857E-5</v>
      </c>
    </row>
    <row r="245" spans="1:17">
      <c r="A245" s="1" t="s">
        <v>267</v>
      </c>
      <c r="B245" s="1" t="s">
        <v>17</v>
      </c>
      <c r="C245" s="1" t="s">
        <v>21</v>
      </c>
      <c r="D245" s="1" t="s">
        <v>391</v>
      </c>
      <c r="E245" s="1">
        <v>8984</v>
      </c>
      <c r="F245" s="1">
        <v>188684</v>
      </c>
      <c r="G245" s="1">
        <f t="shared" si="21"/>
        <v>197668</v>
      </c>
      <c r="H245" s="1">
        <v>27772</v>
      </c>
      <c r="I245" s="1">
        <v>10</v>
      </c>
      <c r="J245" s="1">
        <v>148</v>
      </c>
      <c r="K245" s="1">
        <f t="shared" si="27"/>
        <v>4110256</v>
      </c>
      <c r="L245" s="1">
        <v>36</v>
      </c>
      <c r="M245" s="1">
        <f t="shared" si="25"/>
        <v>3110464</v>
      </c>
      <c r="N245" s="1">
        <f t="shared" si="26"/>
        <v>2912796</v>
      </c>
      <c r="O245" s="4">
        <f t="shared" si="22"/>
        <v>0.93645063887574331</v>
      </c>
      <c r="P245" s="4">
        <f t="shared" si="23"/>
        <v>32.142857142857146</v>
      </c>
      <c r="Q245" s="4">
        <f t="shared" si="24"/>
        <v>2.4329384836370289E-4</v>
      </c>
    </row>
    <row r="246" spans="1:17">
      <c r="A246" s="1" t="s">
        <v>268</v>
      </c>
      <c r="B246" s="1" t="s">
        <v>20</v>
      </c>
      <c r="C246" s="1" t="s">
        <v>18</v>
      </c>
      <c r="D246" s="1" t="s">
        <v>391</v>
      </c>
      <c r="E246" s="1">
        <v>16913</v>
      </c>
      <c r="F246" s="1">
        <v>61632</v>
      </c>
      <c r="G246" s="1">
        <f t="shared" si="21"/>
        <v>78545</v>
      </c>
      <c r="H246" s="1">
        <v>10225</v>
      </c>
      <c r="I246" s="1">
        <v>5</v>
      </c>
      <c r="J246" s="1">
        <v>118</v>
      </c>
      <c r="K246" s="1">
        <f t="shared" si="27"/>
        <v>1206550</v>
      </c>
      <c r="L246" s="1">
        <v>14</v>
      </c>
      <c r="M246" s="1">
        <f t="shared" si="25"/>
        <v>1063400</v>
      </c>
      <c r="N246" s="1">
        <f t="shared" si="26"/>
        <v>984855</v>
      </c>
      <c r="O246" s="4">
        <f t="shared" si="22"/>
        <v>0.92613785969531692</v>
      </c>
      <c r="P246" s="4">
        <f t="shared" si="23"/>
        <v>13.461538461538462</v>
      </c>
      <c r="Q246" s="4">
        <f t="shared" si="24"/>
        <v>4.1440470763747872E-4</v>
      </c>
    </row>
    <row r="247" spans="1:17">
      <c r="A247" s="1" t="s">
        <v>269</v>
      </c>
      <c r="B247" s="1" t="s">
        <v>14</v>
      </c>
      <c r="C247" s="1" t="s">
        <v>29</v>
      </c>
      <c r="D247" s="1" t="s">
        <v>391</v>
      </c>
      <c r="E247" s="1">
        <v>18368</v>
      </c>
      <c r="F247" s="1">
        <v>98614</v>
      </c>
      <c r="G247" s="1">
        <f t="shared" si="21"/>
        <v>116982</v>
      </c>
      <c r="H247" s="1">
        <v>24721</v>
      </c>
      <c r="I247" s="1">
        <v>15</v>
      </c>
      <c r="J247" s="1">
        <v>115</v>
      </c>
      <c r="K247" s="1">
        <f t="shared" si="27"/>
        <v>2842915</v>
      </c>
      <c r="L247" s="1">
        <v>24</v>
      </c>
      <c r="M247" s="1">
        <f t="shared" si="25"/>
        <v>2249611</v>
      </c>
      <c r="N247" s="1">
        <f t="shared" si="26"/>
        <v>2132629</v>
      </c>
      <c r="O247" s="4">
        <f t="shared" si="22"/>
        <v>0.9479990096065497</v>
      </c>
      <c r="P247" s="4">
        <f t="shared" si="23"/>
        <v>26.373626373626376</v>
      </c>
      <c r="Q247" s="4">
        <f t="shared" si="24"/>
        <v>5.2762745280812121E-4</v>
      </c>
    </row>
    <row r="248" spans="1:17">
      <c r="A248" s="1" t="s">
        <v>270</v>
      </c>
      <c r="B248" s="1" t="s">
        <v>26</v>
      </c>
      <c r="C248" s="1" t="s">
        <v>21</v>
      </c>
      <c r="D248" s="1" t="s">
        <v>393</v>
      </c>
      <c r="E248" s="1">
        <v>43163</v>
      </c>
      <c r="F248" s="1">
        <v>152989</v>
      </c>
      <c r="G248" s="1">
        <f t="shared" si="21"/>
        <v>196152</v>
      </c>
      <c r="H248" s="1">
        <v>76514</v>
      </c>
      <c r="I248" s="1">
        <v>5</v>
      </c>
      <c r="J248" s="1">
        <v>108</v>
      </c>
      <c r="K248" s="1">
        <f t="shared" si="27"/>
        <v>8263512</v>
      </c>
      <c r="L248" s="1">
        <v>28</v>
      </c>
      <c r="M248" s="1">
        <f t="shared" si="25"/>
        <v>6121120</v>
      </c>
      <c r="N248" s="1">
        <f t="shared" si="26"/>
        <v>5924968</v>
      </c>
      <c r="O248" s="4">
        <f t="shared" si="22"/>
        <v>0.96795488407350294</v>
      </c>
      <c r="P248" s="4">
        <f t="shared" si="23"/>
        <v>35</v>
      </c>
      <c r="Q248" s="4">
        <f t="shared" si="24"/>
        <v>6.0506961204872694E-5</v>
      </c>
    </row>
    <row r="249" spans="1:17">
      <c r="A249" s="1" t="s">
        <v>271</v>
      </c>
      <c r="B249" s="1" t="s">
        <v>26</v>
      </c>
      <c r="C249" s="1" t="s">
        <v>21</v>
      </c>
      <c r="D249" s="1" t="s">
        <v>392</v>
      </c>
      <c r="E249" s="1">
        <v>46902</v>
      </c>
      <c r="F249" s="1">
        <v>301017</v>
      </c>
      <c r="G249" s="1">
        <f t="shared" si="21"/>
        <v>347919</v>
      </c>
      <c r="H249" s="1">
        <v>51086</v>
      </c>
      <c r="I249" s="1">
        <v>15</v>
      </c>
      <c r="J249" s="1">
        <v>88</v>
      </c>
      <c r="K249" s="1">
        <f t="shared" si="27"/>
        <v>4495568</v>
      </c>
      <c r="L249" s="1">
        <v>23</v>
      </c>
      <c r="M249" s="1">
        <f t="shared" si="25"/>
        <v>3320590</v>
      </c>
      <c r="N249" s="1">
        <f t="shared" si="26"/>
        <v>2972671</v>
      </c>
      <c r="O249" s="4">
        <f t="shared" si="22"/>
        <v>0.895223740359394</v>
      </c>
      <c r="P249" s="4">
        <f t="shared" si="23"/>
        <v>35.384615384615387</v>
      </c>
      <c r="Q249" s="4">
        <f t="shared" si="24"/>
        <v>3.3366195328376748E-4</v>
      </c>
    </row>
    <row r="250" spans="1:17">
      <c r="A250" s="1" t="s">
        <v>272</v>
      </c>
      <c r="B250" s="1" t="s">
        <v>20</v>
      </c>
      <c r="C250" s="1" t="s">
        <v>29</v>
      </c>
      <c r="D250" s="1" t="s">
        <v>392</v>
      </c>
      <c r="E250" s="1">
        <v>15026</v>
      </c>
      <c r="F250" s="1">
        <v>268489</v>
      </c>
      <c r="G250" s="1">
        <f t="shared" si="21"/>
        <v>283515</v>
      </c>
      <c r="H250" s="1">
        <v>82554</v>
      </c>
      <c r="I250" s="1">
        <v>15</v>
      </c>
      <c r="J250" s="1">
        <v>62</v>
      </c>
      <c r="K250" s="1">
        <f t="shared" si="27"/>
        <v>5118348</v>
      </c>
      <c r="L250" s="1">
        <v>23</v>
      </c>
      <c r="M250" s="1">
        <f t="shared" si="25"/>
        <v>3219606</v>
      </c>
      <c r="N250" s="1">
        <f t="shared" si="26"/>
        <v>2936091</v>
      </c>
      <c r="O250" s="4">
        <f t="shared" si="22"/>
        <v>0.91194108844374122</v>
      </c>
      <c r="P250" s="4">
        <f t="shared" si="23"/>
        <v>58.974358974358978</v>
      </c>
      <c r="Q250" s="4">
        <f t="shared" si="24"/>
        <v>2.9306330870820037E-4</v>
      </c>
    </row>
    <row r="251" spans="1:17">
      <c r="A251" s="1" t="s">
        <v>273</v>
      </c>
      <c r="B251" s="1" t="s">
        <v>17</v>
      </c>
      <c r="C251" s="1" t="s">
        <v>18</v>
      </c>
      <c r="D251" s="1" t="s">
        <v>392</v>
      </c>
      <c r="E251" s="1">
        <v>15360</v>
      </c>
      <c r="F251" s="1">
        <v>116002</v>
      </c>
      <c r="G251" s="1">
        <f t="shared" si="21"/>
        <v>131362</v>
      </c>
      <c r="H251" s="1">
        <v>36220</v>
      </c>
      <c r="I251" s="1">
        <v>0</v>
      </c>
      <c r="J251" s="1">
        <v>49</v>
      </c>
      <c r="K251" s="1">
        <f t="shared" si="27"/>
        <v>1774780</v>
      </c>
      <c r="L251" s="1">
        <v>23</v>
      </c>
      <c r="M251" s="1">
        <f t="shared" si="25"/>
        <v>941720</v>
      </c>
      <c r="N251" s="1">
        <f t="shared" si="26"/>
        <v>810358</v>
      </c>
      <c r="O251" s="4">
        <f t="shared" si="22"/>
        <v>0.86050843138087751</v>
      </c>
      <c r="P251" s="4">
        <f t="shared" si="23"/>
        <v>88.461538461538453</v>
      </c>
      <c r="Q251" s="4">
        <f t="shared" si="24"/>
        <v>0</v>
      </c>
    </row>
    <row r="252" spans="1:17">
      <c r="A252" s="1" t="s">
        <v>274</v>
      </c>
      <c r="B252" s="1" t="s">
        <v>26</v>
      </c>
      <c r="C252" s="1" t="s">
        <v>15</v>
      </c>
      <c r="D252" s="1" t="s">
        <v>391</v>
      </c>
      <c r="E252" s="1">
        <v>30736</v>
      </c>
      <c r="F252" s="1">
        <v>120428</v>
      </c>
      <c r="G252" s="1">
        <f t="shared" si="21"/>
        <v>151164</v>
      </c>
      <c r="H252" s="1">
        <v>22092</v>
      </c>
      <c r="I252" s="1">
        <v>20</v>
      </c>
      <c r="J252" s="1">
        <v>104</v>
      </c>
      <c r="K252" s="1">
        <f t="shared" si="27"/>
        <v>2297568</v>
      </c>
      <c r="L252" s="1">
        <v>14</v>
      </c>
      <c r="M252" s="1">
        <f t="shared" si="25"/>
        <v>1988280</v>
      </c>
      <c r="N252" s="1">
        <f t="shared" si="26"/>
        <v>1837116</v>
      </c>
      <c r="O252" s="4">
        <f t="shared" si="22"/>
        <v>0.92397247872533039</v>
      </c>
      <c r="P252" s="4">
        <f t="shared" si="23"/>
        <v>15.555555555555555</v>
      </c>
      <c r="Q252" s="4">
        <f t="shared" si="24"/>
        <v>8.7048566136018618E-4</v>
      </c>
    </row>
    <row r="253" spans="1:17">
      <c r="A253" s="1" t="s">
        <v>275</v>
      </c>
      <c r="B253" s="1" t="s">
        <v>14</v>
      </c>
      <c r="C253" s="1" t="s">
        <v>15</v>
      </c>
      <c r="D253" s="1" t="s">
        <v>391</v>
      </c>
      <c r="E253" s="1">
        <v>35259</v>
      </c>
      <c r="F253" s="1">
        <v>90256</v>
      </c>
      <c r="G253" s="1">
        <f t="shared" si="21"/>
        <v>125515</v>
      </c>
      <c r="H253" s="1">
        <v>58083</v>
      </c>
      <c r="I253" s="1">
        <v>20</v>
      </c>
      <c r="J253" s="1">
        <v>129</v>
      </c>
      <c r="K253" s="1">
        <f t="shared" si="27"/>
        <v>7492707</v>
      </c>
      <c r="L253" s="1">
        <v>7</v>
      </c>
      <c r="M253" s="1">
        <f t="shared" si="25"/>
        <v>7086126</v>
      </c>
      <c r="N253" s="1">
        <f t="shared" si="26"/>
        <v>6960611</v>
      </c>
      <c r="O253" s="4">
        <f t="shared" si="22"/>
        <v>0.9822872187144287</v>
      </c>
      <c r="P253" s="4">
        <f t="shared" si="23"/>
        <v>5.7377049180327866</v>
      </c>
      <c r="Q253" s="4">
        <f t="shared" si="24"/>
        <v>2.6692622572856508E-4</v>
      </c>
    </row>
    <row r="254" spans="1:17">
      <c r="A254" s="1" t="s">
        <v>276</v>
      </c>
      <c r="B254" s="1" t="s">
        <v>17</v>
      </c>
      <c r="C254" s="1" t="s">
        <v>21</v>
      </c>
      <c r="D254" s="1" t="s">
        <v>391</v>
      </c>
      <c r="E254" s="1">
        <v>16420</v>
      </c>
      <c r="F254" s="1">
        <v>119740</v>
      </c>
      <c r="G254" s="1">
        <f t="shared" si="21"/>
        <v>136160</v>
      </c>
      <c r="H254" s="1">
        <v>65241</v>
      </c>
      <c r="I254" s="1">
        <v>0</v>
      </c>
      <c r="J254" s="1">
        <v>88</v>
      </c>
      <c r="K254" s="1">
        <f t="shared" si="27"/>
        <v>5741208</v>
      </c>
      <c r="L254" s="1">
        <v>22</v>
      </c>
      <c r="M254" s="1">
        <f t="shared" si="25"/>
        <v>4305906</v>
      </c>
      <c r="N254" s="1">
        <f t="shared" si="26"/>
        <v>4169746</v>
      </c>
      <c r="O254" s="4">
        <f t="shared" si="22"/>
        <v>0.96837831573657207</v>
      </c>
      <c r="P254" s="4">
        <f t="shared" si="23"/>
        <v>33.333333333333329</v>
      </c>
      <c r="Q254" s="4">
        <f t="shared" si="24"/>
        <v>0</v>
      </c>
    </row>
    <row r="255" spans="1:17">
      <c r="A255" s="1" t="s">
        <v>277</v>
      </c>
      <c r="B255" s="1" t="s">
        <v>20</v>
      </c>
      <c r="C255" s="1" t="s">
        <v>18</v>
      </c>
      <c r="D255" s="1" t="s">
        <v>391</v>
      </c>
      <c r="E255" s="1">
        <v>7151</v>
      </c>
      <c r="F255" s="1">
        <v>377520</v>
      </c>
      <c r="G255" s="1">
        <f t="shared" si="21"/>
        <v>384671</v>
      </c>
      <c r="H255" s="1">
        <v>29038</v>
      </c>
      <c r="I255" s="1">
        <v>5</v>
      </c>
      <c r="J255" s="1">
        <v>69</v>
      </c>
      <c r="K255" s="1">
        <f t="shared" si="27"/>
        <v>2003622</v>
      </c>
      <c r="L255" s="1">
        <v>22</v>
      </c>
      <c r="M255" s="1">
        <f t="shared" si="25"/>
        <v>1364786</v>
      </c>
      <c r="N255" s="1">
        <f t="shared" si="26"/>
        <v>980115</v>
      </c>
      <c r="O255" s="4">
        <f t="shared" si="22"/>
        <v>0.71814555542041025</v>
      </c>
      <c r="P255" s="4">
        <f t="shared" si="23"/>
        <v>46.808510638297875</v>
      </c>
      <c r="Q255" s="4">
        <f t="shared" si="24"/>
        <v>2.4954806844804063E-4</v>
      </c>
    </row>
    <row r="256" spans="1:17">
      <c r="A256" s="1" t="s">
        <v>278</v>
      </c>
      <c r="B256" s="1" t="s">
        <v>14</v>
      </c>
      <c r="C256" s="1" t="s">
        <v>21</v>
      </c>
      <c r="D256" s="1" t="s">
        <v>392</v>
      </c>
      <c r="E256" s="1">
        <v>37925</v>
      </c>
      <c r="F256" s="1">
        <v>131314</v>
      </c>
      <c r="G256" s="1">
        <f t="shared" si="21"/>
        <v>169239</v>
      </c>
      <c r="H256" s="1">
        <v>33568</v>
      </c>
      <c r="I256" s="1">
        <v>10</v>
      </c>
      <c r="J256" s="1">
        <v>110</v>
      </c>
      <c r="K256" s="1">
        <f t="shared" si="27"/>
        <v>3692480</v>
      </c>
      <c r="L256" s="1">
        <v>18</v>
      </c>
      <c r="M256" s="1">
        <f t="shared" si="25"/>
        <v>3088256</v>
      </c>
      <c r="N256" s="1">
        <f t="shared" si="26"/>
        <v>2919017</v>
      </c>
      <c r="O256" s="4">
        <f t="shared" si="22"/>
        <v>0.94519916742653454</v>
      </c>
      <c r="P256" s="4">
        <f t="shared" si="23"/>
        <v>19.565217391304348</v>
      </c>
      <c r="Q256" s="4">
        <f t="shared" si="24"/>
        <v>2.7082069503423173E-4</v>
      </c>
    </row>
    <row r="257" spans="1:17">
      <c r="A257" s="1" t="s">
        <v>279</v>
      </c>
      <c r="B257" s="1" t="s">
        <v>26</v>
      </c>
      <c r="C257" s="1" t="s">
        <v>21</v>
      </c>
      <c r="D257" s="1" t="s">
        <v>391</v>
      </c>
      <c r="E257" s="1">
        <v>29610</v>
      </c>
      <c r="F257" s="1">
        <v>351427</v>
      </c>
      <c r="G257" s="1">
        <f t="shared" si="21"/>
        <v>381037</v>
      </c>
      <c r="H257" s="1">
        <v>20607</v>
      </c>
      <c r="I257" s="1">
        <v>0</v>
      </c>
      <c r="J257" s="1">
        <v>75</v>
      </c>
      <c r="K257" s="1">
        <f t="shared" si="27"/>
        <v>1545525</v>
      </c>
      <c r="L257" s="1">
        <v>12</v>
      </c>
      <c r="M257" s="1">
        <f t="shared" si="25"/>
        <v>1298241</v>
      </c>
      <c r="N257" s="1">
        <f t="shared" si="26"/>
        <v>917204</v>
      </c>
      <c r="O257" s="4">
        <f t="shared" si="22"/>
        <v>0.70649748390321987</v>
      </c>
      <c r="P257" s="4">
        <f t="shared" si="23"/>
        <v>19.047619047619047</v>
      </c>
      <c r="Q257" s="4">
        <f t="shared" si="24"/>
        <v>0</v>
      </c>
    </row>
    <row r="258" spans="1:17">
      <c r="A258" s="1" t="s">
        <v>280</v>
      </c>
      <c r="B258" s="1" t="s">
        <v>14</v>
      </c>
      <c r="C258" s="1" t="s">
        <v>29</v>
      </c>
      <c r="D258" s="1" t="s">
        <v>392</v>
      </c>
      <c r="E258" s="1">
        <v>49516</v>
      </c>
      <c r="F258" s="1">
        <v>205433</v>
      </c>
      <c r="G258" s="1">
        <f t="shared" si="21"/>
        <v>254949</v>
      </c>
      <c r="H258" s="1">
        <v>48282</v>
      </c>
      <c r="I258" s="1">
        <v>15</v>
      </c>
      <c r="J258" s="1">
        <v>14</v>
      </c>
      <c r="K258" s="1">
        <f t="shared" si="27"/>
        <v>675948</v>
      </c>
      <c r="L258" s="1">
        <v>24</v>
      </c>
      <c r="M258" s="1">
        <f t="shared" si="25"/>
        <v>-482820</v>
      </c>
      <c r="N258" s="1">
        <f t="shared" si="26"/>
        <v>-737769</v>
      </c>
      <c r="O258" s="4">
        <f t="shared" si="22"/>
        <v>-1.5280415061513608</v>
      </c>
      <c r="P258" s="4">
        <f t="shared" si="23"/>
        <v>-240</v>
      </c>
      <c r="Q258" s="4">
        <f t="shared" si="24"/>
        <v>2.2191056116742706E-3</v>
      </c>
    </row>
    <row r="259" spans="1:17">
      <c r="A259" s="1" t="s">
        <v>281</v>
      </c>
      <c r="B259" s="1" t="s">
        <v>20</v>
      </c>
      <c r="C259" s="1" t="s">
        <v>18</v>
      </c>
      <c r="D259" s="1" t="s">
        <v>392</v>
      </c>
      <c r="E259" s="1">
        <v>48885</v>
      </c>
      <c r="F259" s="1">
        <v>136274</v>
      </c>
      <c r="G259" s="1">
        <f t="shared" ref="G259:G322" si="28">E259+F259</f>
        <v>185159</v>
      </c>
      <c r="H259" s="1">
        <v>55368</v>
      </c>
      <c r="I259" s="1">
        <v>5</v>
      </c>
      <c r="J259" s="1">
        <v>28</v>
      </c>
      <c r="K259" s="1">
        <f t="shared" si="27"/>
        <v>1550304</v>
      </c>
      <c r="L259" s="1">
        <v>29</v>
      </c>
      <c r="M259" s="1">
        <f t="shared" si="25"/>
        <v>-55368</v>
      </c>
      <c r="N259" s="1">
        <f t="shared" si="26"/>
        <v>-240527</v>
      </c>
      <c r="O259" s="4">
        <f t="shared" ref="O259:O322" si="29">SUM(N259/ABS(M259))</f>
        <v>-4.3441518566681117</v>
      </c>
      <c r="P259" s="4">
        <f t="shared" ref="P259:P322" si="30">SUM(H259*L259)/M259*100</f>
        <v>-2900</v>
      </c>
      <c r="Q259" s="4">
        <f t="shared" ref="Q259:Q322" si="31">I259/K259*100</f>
        <v>3.2251739013767621E-4</v>
      </c>
    </row>
    <row r="260" spans="1:17">
      <c r="A260" s="1" t="s">
        <v>282</v>
      </c>
      <c r="B260" s="1" t="s">
        <v>20</v>
      </c>
      <c r="C260" s="1" t="s">
        <v>122</v>
      </c>
      <c r="D260" s="1" t="s">
        <v>392</v>
      </c>
      <c r="E260" s="1">
        <v>42053</v>
      </c>
      <c r="F260" s="1">
        <v>310299</v>
      </c>
      <c r="G260" s="1">
        <f t="shared" si="28"/>
        <v>352352</v>
      </c>
      <c r="H260" s="1">
        <v>66120</v>
      </c>
      <c r="I260" s="1">
        <v>10</v>
      </c>
      <c r="J260" s="1">
        <v>4</v>
      </c>
      <c r="K260" s="1">
        <f t="shared" si="27"/>
        <v>264480</v>
      </c>
      <c r="L260" s="1">
        <v>6</v>
      </c>
      <c r="M260" s="1">
        <f t="shared" ref="M260:M323" si="32">K260-H260*L260</f>
        <v>-132240</v>
      </c>
      <c r="N260" s="1">
        <f t="shared" ref="N260:N323" si="33">M260-G260</f>
        <v>-484592</v>
      </c>
      <c r="O260" s="4">
        <f t="shared" si="29"/>
        <v>-3.6644888082274654</v>
      </c>
      <c r="P260" s="4">
        <f t="shared" si="30"/>
        <v>-300</v>
      </c>
      <c r="Q260" s="4">
        <f t="shared" si="31"/>
        <v>3.7810042347247433E-3</v>
      </c>
    </row>
    <row r="261" spans="1:17">
      <c r="A261" s="1" t="s">
        <v>283</v>
      </c>
      <c r="B261" s="1" t="s">
        <v>14</v>
      </c>
      <c r="C261" s="1" t="s">
        <v>15</v>
      </c>
      <c r="D261" s="1" t="s">
        <v>392</v>
      </c>
      <c r="E261" s="1">
        <v>47188</v>
      </c>
      <c r="F261" s="1">
        <v>58370</v>
      </c>
      <c r="G261" s="1">
        <f t="shared" si="28"/>
        <v>105558</v>
      </c>
      <c r="H261" s="1">
        <v>76507</v>
      </c>
      <c r="I261" s="1">
        <v>5</v>
      </c>
      <c r="J261" s="1">
        <v>34</v>
      </c>
      <c r="K261" s="1">
        <f t="shared" ref="K261:K324" si="34">H261*J261</f>
        <v>2601238</v>
      </c>
      <c r="L261" s="1">
        <v>8</v>
      </c>
      <c r="M261" s="1">
        <f t="shared" si="32"/>
        <v>1989182</v>
      </c>
      <c r="N261" s="1">
        <f t="shared" si="33"/>
        <v>1883624</v>
      </c>
      <c r="O261" s="4">
        <f t="shared" si="29"/>
        <v>0.94693396582112643</v>
      </c>
      <c r="P261" s="4">
        <f t="shared" si="30"/>
        <v>30.76923076923077</v>
      </c>
      <c r="Q261" s="4">
        <f t="shared" si="31"/>
        <v>1.9221616784008229E-4</v>
      </c>
    </row>
    <row r="262" spans="1:17">
      <c r="A262" s="1" t="s">
        <v>284</v>
      </c>
      <c r="B262" s="1" t="s">
        <v>20</v>
      </c>
      <c r="C262" s="1" t="s">
        <v>15</v>
      </c>
      <c r="D262" s="1" t="s">
        <v>391</v>
      </c>
      <c r="E262" s="1">
        <v>31789</v>
      </c>
      <c r="F262" s="1">
        <v>257737</v>
      </c>
      <c r="G262" s="1">
        <f t="shared" si="28"/>
        <v>289526</v>
      </c>
      <c r="H262" s="1">
        <v>27366</v>
      </c>
      <c r="I262" s="1">
        <v>20</v>
      </c>
      <c r="J262" s="1">
        <v>55</v>
      </c>
      <c r="K262" s="1">
        <f t="shared" si="34"/>
        <v>1505130</v>
      </c>
      <c r="L262" s="1">
        <v>17</v>
      </c>
      <c r="M262" s="1">
        <f t="shared" si="32"/>
        <v>1039908</v>
      </c>
      <c r="N262" s="1">
        <f t="shared" si="33"/>
        <v>750382</v>
      </c>
      <c r="O262" s="4">
        <f t="shared" si="29"/>
        <v>0.72158498636417834</v>
      </c>
      <c r="P262" s="4">
        <f t="shared" si="30"/>
        <v>44.736842105263158</v>
      </c>
      <c r="Q262" s="4">
        <f t="shared" si="31"/>
        <v>1.3287888753795352E-3</v>
      </c>
    </row>
    <row r="263" spans="1:17">
      <c r="A263" s="1" t="s">
        <v>285</v>
      </c>
      <c r="B263" s="1" t="s">
        <v>14</v>
      </c>
      <c r="C263" s="1" t="s">
        <v>15</v>
      </c>
      <c r="D263" s="1" t="s">
        <v>391</v>
      </c>
      <c r="E263" s="1">
        <v>17103</v>
      </c>
      <c r="F263" s="1">
        <v>154852</v>
      </c>
      <c r="G263" s="1">
        <f t="shared" si="28"/>
        <v>171955</v>
      </c>
      <c r="H263" s="1">
        <v>30351</v>
      </c>
      <c r="I263" s="1">
        <v>10</v>
      </c>
      <c r="J263" s="1">
        <v>24</v>
      </c>
      <c r="K263" s="1">
        <f t="shared" si="34"/>
        <v>728424</v>
      </c>
      <c r="L263" s="1">
        <v>40</v>
      </c>
      <c r="M263" s="1">
        <f t="shared" si="32"/>
        <v>-485616</v>
      </c>
      <c r="N263" s="1">
        <f t="shared" si="33"/>
        <v>-657571</v>
      </c>
      <c r="O263" s="4">
        <f t="shared" si="29"/>
        <v>-1.3540966524990938</v>
      </c>
      <c r="P263" s="4">
        <f t="shared" si="30"/>
        <v>-250</v>
      </c>
      <c r="Q263" s="4">
        <f t="shared" si="31"/>
        <v>1.372826815151615E-3</v>
      </c>
    </row>
    <row r="264" spans="1:17">
      <c r="A264" s="1" t="s">
        <v>286</v>
      </c>
      <c r="B264" s="1" t="s">
        <v>26</v>
      </c>
      <c r="C264" s="1" t="s">
        <v>29</v>
      </c>
      <c r="D264" s="1" t="s">
        <v>391</v>
      </c>
      <c r="E264" s="1">
        <v>35823</v>
      </c>
      <c r="F264" s="1">
        <v>226213</v>
      </c>
      <c r="G264" s="1">
        <f t="shared" si="28"/>
        <v>262036</v>
      </c>
      <c r="H264" s="1">
        <v>18660</v>
      </c>
      <c r="I264" s="1">
        <v>20</v>
      </c>
      <c r="J264" s="1">
        <v>51</v>
      </c>
      <c r="K264" s="1">
        <f t="shared" si="34"/>
        <v>951660</v>
      </c>
      <c r="L264" s="1">
        <v>17</v>
      </c>
      <c r="M264" s="1">
        <f t="shared" si="32"/>
        <v>634440</v>
      </c>
      <c r="N264" s="1">
        <f t="shared" si="33"/>
        <v>372404</v>
      </c>
      <c r="O264" s="4">
        <f t="shared" si="29"/>
        <v>0.58698064434777131</v>
      </c>
      <c r="P264" s="4">
        <f t="shared" si="30"/>
        <v>50</v>
      </c>
      <c r="Q264" s="4">
        <f t="shared" si="31"/>
        <v>2.1015909043145659E-3</v>
      </c>
    </row>
    <row r="265" spans="1:17">
      <c r="A265" s="1" t="s">
        <v>287</v>
      </c>
      <c r="B265" s="1" t="s">
        <v>14</v>
      </c>
      <c r="C265" s="1" t="s">
        <v>18</v>
      </c>
      <c r="D265" s="1" t="s">
        <v>392</v>
      </c>
      <c r="E265" s="1">
        <v>37746</v>
      </c>
      <c r="F265" s="1">
        <v>325228</v>
      </c>
      <c r="G265" s="1">
        <f t="shared" si="28"/>
        <v>362974</v>
      </c>
      <c r="H265" s="1">
        <v>47730</v>
      </c>
      <c r="I265" s="1">
        <v>20</v>
      </c>
      <c r="J265" s="1">
        <v>54</v>
      </c>
      <c r="K265" s="1">
        <f t="shared" si="34"/>
        <v>2577420</v>
      </c>
      <c r="L265" s="1">
        <v>12</v>
      </c>
      <c r="M265" s="1">
        <f t="shared" si="32"/>
        <v>2004660</v>
      </c>
      <c r="N265" s="1">
        <f t="shared" si="33"/>
        <v>1641686</v>
      </c>
      <c r="O265" s="4">
        <f t="shared" si="29"/>
        <v>0.81893488172557938</v>
      </c>
      <c r="P265" s="4">
        <f t="shared" si="30"/>
        <v>28.571428571428569</v>
      </c>
      <c r="Q265" s="4">
        <f t="shared" si="31"/>
        <v>7.7596976821783022E-4</v>
      </c>
    </row>
    <row r="266" spans="1:17">
      <c r="A266" s="1" t="s">
        <v>288</v>
      </c>
      <c r="B266" s="1" t="s">
        <v>20</v>
      </c>
      <c r="C266" s="1" t="s">
        <v>15</v>
      </c>
      <c r="D266" s="1" t="s">
        <v>392</v>
      </c>
      <c r="E266" s="1">
        <v>49866</v>
      </c>
      <c r="F266" s="1">
        <v>282513</v>
      </c>
      <c r="G266" s="1">
        <f t="shared" si="28"/>
        <v>332379</v>
      </c>
      <c r="H266" s="1">
        <v>36897</v>
      </c>
      <c r="I266" s="1">
        <v>10</v>
      </c>
      <c r="J266" s="1">
        <v>37</v>
      </c>
      <c r="K266" s="1">
        <f t="shared" si="34"/>
        <v>1365189</v>
      </c>
      <c r="L266" s="1">
        <v>4</v>
      </c>
      <c r="M266" s="1">
        <f t="shared" si="32"/>
        <v>1217601</v>
      </c>
      <c r="N266" s="1">
        <f t="shared" si="33"/>
        <v>885222</v>
      </c>
      <c r="O266" s="4">
        <f t="shared" si="29"/>
        <v>0.72702141341868154</v>
      </c>
      <c r="P266" s="4">
        <f t="shared" si="30"/>
        <v>12.121212121212121</v>
      </c>
      <c r="Q266" s="4">
        <f t="shared" si="31"/>
        <v>7.3249930961940071E-4</v>
      </c>
    </row>
    <row r="267" spans="1:17">
      <c r="A267" s="1" t="s">
        <v>289</v>
      </c>
      <c r="B267" s="1" t="s">
        <v>14</v>
      </c>
      <c r="C267" s="1" t="s">
        <v>15</v>
      </c>
      <c r="D267" s="1" t="s">
        <v>392</v>
      </c>
      <c r="E267" s="1">
        <v>37378</v>
      </c>
      <c r="F267" s="1">
        <v>332904</v>
      </c>
      <c r="G267" s="1">
        <f t="shared" si="28"/>
        <v>370282</v>
      </c>
      <c r="H267" s="1">
        <v>17959</v>
      </c>
      <c r="I267" s="1">
        <v>0</v>
      </c>
      <c r="J267" s="1">
        <v>21</v>
      </c>
      <c r="K267" s="1">
        <f t="shared" si="34"/>
        <v>377139</v>
      </c>
      <c r="L267" s="1">
        <v>28</v>
      </c>
      <c r="M267" s="1">
        <f t="shared" si="32"/>
        <v>-125713</v>
      </c>
      <c r="N267" s="1">
        <f t="shared" si="33"/>
        <v>-495995</v>
      </c>
      <c r="O267" s="4">
        <f t="shared" si="29"/>
        <v>-3.945455123972859</v>
      </c>
      <c r="P267" s="4">
        <f t="shared" si="30"/>
        <v>-400</v>
      </c>
      <c r="Q267" s="4">
        <f t="shared" si="31"/>
        <v>0</v>
      </c>
    </row>
    <row r="268" spans="1:17">
      <c r="A268" s="1" t="s">
        <v>290</v>
      </c>
      <c r="B268" s="1" t="s">
        <v>20</v>
      </c>
      <c r="C268" s="1" t="s">
        <v>18</v>
      </c>
      <c r="D268" s="1" t="s">
        <v>391</v>
      </c>
      <c r="E268" s="1">
        <v>38969</v>
      </c>
      <c r="F268" s="1">
        <v>263907</v>
      </c>
      <c r="G268" s="1">
        <f t="shared" si="28"/>
        <v>302876</v>
      </c>
      <c r="H268" s="1">
        <v>23509</v>
      </c>
      <c r="I268" s="1">
        <v>5</v>
      </c>
      <c r="J268" s="1">
        <v>86</v>
      </c>
      <c r="K268" s="1">
        <f t="shared" si="34"/>
        <v>2021774</v>
      </c>
      <c r="L268" s="1">
        <v>0</v>
      </c>
      <c r="M268" s="1">
        <f t="shared" si="32"/>
        <v>2021774</v>
      </c>
      <c r="N268" s="1">
        <f t="shared" si="33"/>
        <v>1718898</v>
      </c>
      <c r="O268" s="4">
        <f t="shared" si="29"/>
        <v>0.85019294936031431</v>
      </c>
      <c r="P268" s="4">
        <f t="shared" si="30"/>
        <v>0</v>
      </c>
      <c r="Q268" s="4">
        <f t="shared" si="31"/>
        <v>2.4730756256634024E-4</v>
      </c>
    </row>
    <row r="269" spans="1:17">
      <c r="A269" s="1" t="s">
        <v>291</v>
      </c>
      <c r="B269" s="1" t="s">
        <v>20</v>
      </c>
      <c r="C269" s="1" t="s">
        <v>18</v>
      </c>
      <c r="D269" s="1" t="s">
        <v>391</v>
      </c>
      <c r="E269" s="1">
        <v>20486</v>
      </c>
      <c r="F269" s="1">
        <v>125399</v>
      </c>
      <c r="G269" s="1">
        <f t="shared" si="28"/>
        <v>145885</v>
      </c>
      <c r="H269" s="1">
        <v>74118</v>
      </c>
      <c r="I269" s="1">
        <v>5</v>
      </c>
      <c r="J269" s="1">
        <v>11</v>
      </c>
      <c r="K269" s="1">
        <f t="shared" si="34"/>
        <v>815298</v>
      </c>
      <c r="L269" s="1">
        <v>28</v>
      </c>
      <c r="M269" s="1">
        <f t="shared" si="32"/>
        <v>-1260006</v>
      </c>
      <c r="N269" s="1">
        <f t="shared" si="33"/>
        <v>-1405891</v>
      </c>
      <c r="O269" s="4">
        <f t="shared" si="29"/>
        <v>-1.1157811946927236</v>
      </c>
      <c r="P269" s="4">
        <f t="shared" si="30"/>
        <v>-164.70588235294116</v>
      </c>
      <c r="Q269" s="4">
        <f t="shared" si="31"/>
        <v>6.1327269292945643E-4</v>
      </c>
    </row>
    <row r="270" spans="1:17">
      <c r="A270" s="1" t="s">
        <v>292</v>
      </c>
      <c r="B270" s="1" t="s">
        <v>17</v>
      </c>
      <c r="C270" s="1" t="s">
        <v>29</v>
      </c>
      <c r="D270" s="1" t="s">
        <v>392</v>
      </c>
      <c r="E270" s="1">
        <v>25782</v>
      </c>
      <c r="F270" s="1">
        <v>126386</v>
      </c>
      <c r="G270" s="1">
        <f t="shared" si="28"/>
        <v>152168</v>
      </c>
      <c r="H270" s="1">
        <v>43639</v>
      </c>
      <c r="I270" s="1">
        <v>10</v>
      </c>
      <c r="J270" s="1">
        <v>75</v>
      </c>
      <c r="K270" s="1">
        <f t="shared" si="34"/>
        <v>3272925</v>
      </c>
      <c r="L270" s="1">
        <v>20</v>
      </c>
      <c r="M270" s="1">
        <f t="shared" si="32"/>
        <v>2400145</v>
      </c>
      <c r="N270" s="1">
        <f t="shared" si="33"/>
        <v>2247977</v>
      </c>
      <c r="O270" s="4">
        <f t="shared" si="29"/>
        <v>0.93660049705330306</v>
      </c>
      <c r="P270" s="4">
        <f t="shared" si="30"/>
        <v>36.363636363636367</v>
      </c>
      <c r="Q270" s="4">
        <f t="shared" si="31"/>
        <v>3.0553709602267087E-4</v>
      </c>
    </row>
    <row r="271" spans="1:17">
      <c r="A271" s="1" t="s">
        <v>293</v>
      </c>
      <c r="B271" s="1" t="s">
        <v>26</v>
      </c>
      <c r="C271" s="1" t="s">
        <v>18</v>
      </c>
      <c r="D271" s="1" t="s">
        <v>392</v>
      </c>
      <c r="E271" s="1">
        <v>40029</v>
      </c>
      <c r="F271" s="1">
        <v>367286</v>
      </c>
      <c r="G271" s="1">
        <f t="shared" si="28"/>
        <v>407315</v>
      </c>
      <c r="H271" s="1">
        <v>55935</v>
      </c>
      <c r="I271" s="1">
        <v>5</v>
      </c>
      <c r="J271" s="1">
        <v>70</v>
      </c>
      <c r="K271" s="1">
        <f t="shared" si="34"/>
        <v>3915450</v>
      </c>
      <c r="L271" s="1">
        <v>22</v>
      </c>
      <c r="M271" s="1">
        <f t="shared" si="32"/>
        <v>2684880</v>
      </c>
      <c r="N271" s="1">
        <f t="shared" si="33"/>
        <v>2277565</v>
      </c>
      <c r="O271" s="4">
        <f t="shared" si="29"/>
        <v>0.84829303358064423</v>
      </c>
      <c r="P271" s="4">
        <f t="shared" si="30"/>
        <v>45.833333333333329</v>
      </c>
      <c r="Q271" s="4">
        <f t="shared" si="31"/>
        <v>1.2769924274349051E-4</v>
      </c>
    </row>
    <row r="272" spans="1:17">
      <c r="A272" s="1" t="s">
        <v>294</v>
      </c>
      <c r="B272" s="1" t="s">
        <v>26</v>
      </c>
      <c r="C272" s="1" t="s">
        <v>29</v>
      </c>
      <c r="D272" s="1" t="s">
        <v>392</v>
      </c>
      <c r="E272" s="1">
        <v>29016</v>
      </c>
      <c r="F272" s="1">
        <v>163198</v>
      </c>
      <c r="G272" s="1">
        <f t="shared" si="28"/>
        <v>192214</v>
      </c>
      <c r="H272" s="1">
        <v>68132</v>
      </c>
      <c r="I272" s="1">
        <v>5</v>
      </c>
      <c r="J272" s="1">
        <v>136</v>
      </c>
      <c r="K272" s="1">
        <f t="shared" si="34"/>
        <v>9265952</v>
      </c>
      <c r="L272" s="1">
        <v>36</v>
      </c>
      <c r="M272" s="1">
        <f t="shared" si="32"/>
        <v>6813200</v>
      </c>
      <c r="N272" s="1">
        <f t="shared" si="33"/>
        <v>6620986</v>
      </c>
      <c r="O272" s="4">
        <f t="shared" si="29"/>
        <v>0.97178799976516173</v>
      </c>
      <c r="P272" s="4">
        <f t="shared" si="30"/>
        <v>36</v>
      </c>
      <c r="Q272" s="4">
        <f t="shared" si="31"/>
        <v>5.3960996128622295E-5</v>
      </c>
    </row>
    <row r="273" spans="1:17">
      <c r="A273" s="1" t="s">
        <v>295</v>
      </c>
      <c r="B273" s="1" t="s">
        <v>26</v>
      </c>
      <c r="C273" s="1" t="s">
        <v>21</v>
      </c>
      <c r="D273" s="1" t="s">
        <v>393</v>
      </c>
      <c r="E273" s="1">
        <v>49389</v>
      </c>
      <c r="F273" s="1">
        <v>103867</v>
      </c>
      <c r="G273" s="1">
        <f t="shared" si="28"/>
        <v>153256</v>
      </c>
      <c r="H273" s="1">
        <v>37578</v>
      </c>
      <c r="I273" s="1">
        <v>5</v>
      </c>
      <c r="J273" s="1">
        <v>137</v>
      </c>
      <c r="K273" s="1">
        <f t="shared" si="34"/>
        <v>5148186</v>
      </c>
      <c r="L273" s="1">
        <v>11</v>
      </c>
      <c r="M273" s="1">
        <f t="shared" si="32"/>
        <v>4734828</v>
      </c>
      <c r="N273" s="1">
        <f t="shared" si="33"/>
        <v>4581572</v>
      </c>
      <c r="O273" s="4">
        <f t="shared" si="29"/>
        <v>0.96763219276391876</v>
      </c>
      <c r="P273" s="4">
        <f t="shared" si="30"/>
        <v>8.7301587301587293</v>
      </c>
      <c r="Q273" s="4">
        <f t="shared" si="31"/>
        <v>9.7121588070050318E-5</v>
      </c>
    </row>
    <row r="274" spans="1:17">
      <c r="A274" s="1" t="s">
        <v>296</v>
      </c>
      <c r="B274" s="1" t="s">
        <v>20</v>
      </c>
      <c r="C274" s="1" t="s">
        <v>18</v>
      </c>
      <c r="D274" s="1" t="s">
        <v>391</v>
      </c>
      <c r="E274" s="1">
        <v>6268</v>
      </c>
      <c r="F274" s="1">
        <v>335552</v>
      </c>
      <c r="G274" s="1">
        <f t="shared" si="28"/>
        <v>341820</v>
      </c>
      <c r="H274" s="1">
        <v>76277</v>
      </c>
      <c r="I274" s="1">
        <v>5</v>
      </c>
      <c r="J274" s="1">
        <v>14</v>
      </c>
      <c r="K274" s="1">
        <f t="shared" si="34"/>
        <v>1067878</v>
      </c>
      <c r="L274" s="1">
        <v>22</v>
      </c>
      <c r="M274" s="1">
        <f t="shared" si="32"/>
        <v>-610216</v>
      </c>
      <c r="N274" s="1">
        <f t="shared" si="33"/>
        <v>-952036</v>
      </c>
      <c r="O274" s="4">
        <f t="shared" si="29"/>
        <v>-1.5601623031844463</v>
      </c>
      <c r="P274" s="4">
        <f t="shared" si="30"/>
        <v>-275</v>
      </c>
      <c r="Q274" s="4">
        <f t="shared" si="31"/>
        <v>4.6821827961621084E-4</v>
      </c>
    </row>
    <row r="275" spans="1:17">
      <c r="A275" s="1" t="s">
        <v>297</v>
      </c>
      <c r="B275" s="1" t="s">
        <v>26</v>
      </c>
      <c r="C275" s="1" t="s">
        <v>21</v>
      </c>
      <c r="D275" s="1" t="s">
        <v>392</v>
      </c>
      <c r="E275" s="1">
        <v>32575</v>
      </c>
      <c r="F275" s="1">
        <v>124553</v>
      </c>
      <c r="G275" s="1">
        <f t="shared" si="28"/>
        <v>157128</v>
      </c>
      <c r="H275" s="1">
        <v>36037</v>
      </c>
      <c r="I275" s="1">
        <v>10</v>
      </c>
      <c r="J275" s="1">
        <v>108</v>
      </c>
      <c r="K275" s="1">
        <f t="shared" si="34"/>
        <v>3891996</v>
      </c>
      <c r="L275" s="1">
        <v>5</v>
      </c>
      <c r="M275" s="1">
        <f t="shared" si="32"/>
        <v>3711811</v>
      </c>
      <c r="N275" s="1">
        <f t="shared" si="33"/>
        <v>3554683</v>
      </c>
      <c r="O275" s="4">
        <f t="shared" si="29"/>
        <v>0.95766810325202445</v>
      </c>
      <c r="P275" s="4">
        <f t="shared" si="30"/>
        <v>4.8543689320388346</v>
      </c>
      <c r="Q275" s="4">
        <f t="shared" si="31"/>
        <v>2.5693757136441043E-4</v>
      </c>
    </row>
    <row r="276" spans="1:17">
      <c r="A276" s="1" t="s">
        <v>298</v>
      </c>
      <c r="B276" s="1" t="s">
        <v>20</v>
      </c>
      <c r="C276" s="1" t="s">
        <v>15</v>
      </c>
      <c r="D276" s="1" t="s">
        <v>392</v>
      </c>
      <c r="E276" s="1">
        <v>5988</v>
      </c>
      <c r="F276" s="1">
        <v>275181</v>
      </c>
      <c r="G276" s="1">
        <f t="shared" si="28"/>
        <v>281169</v>
      </c>
      <c r="H276" s="1">
        <v>39616</v>
      </c>
      <c r="I276" s="1">
        <v>10</v>
      </c>
      <c r="J276" s="1">
        <v>75</v>
      </c>
      <c r="K276" s="1">
        <f t="shared" si="34"/>
        <v>2971200</v>
      </c>
      <c r="L276" s="1">
        <v>28</v>
      </c>
      <c r="M276" s="1">
        <f t="shared" si="32"/>
        <v>1861952</v>
      </c>
      <c r="N276" s="1">
        <f t="shared" si="33"/>
        <v>1580783</v>
      </c>
      <c r="O276" s="4">
        <f t="shared" si="29"/>
        <v>0.84899234781562571</v>
      </c>
      <c r="P276" s="4">
        <f t="shared" si="30"/>
        <v>59.574468085106382</v>
      </c>
      <c r="Q276" s="4">
        <f t="shared" si="31"/>
        <v>3.3656435110393106E-4</v>
      </c>
    </row>
    <row r="277" spans="1:17">
      <c r="A277" s="1" t="s">
        <v>299</v>
      </c>
      <c r="B277" s="1" t="s">
        <v>26</v>
      </c>
      <c r="C277" s="1" t="s">
        <v>21</v>
      </c>
      <c r="D277" s="1" t="s">
        <v>391</v>
      </c>
      <c r="E277" s="1">
        <v>13573</v>
      </c>
      <c r="F277" s="1">
        <v>339995</v>
      </c>
      <c r="G277" s="1">
        <f t="shared" si="28"/>
        <v>353568</v>
      </c>
      <c r="H277" s="1">
        <v>65861</v>
      </c>
      <c r="I277" s="1">
        <v>5</v>
      </c>
      <c r="J277" s="1">
        <v>128</v>
      </c>
      <c r="K277" s="1">
        <f t="shared" si="34"/>
        <v>8430208</v>
      </c>
      <c r="L277" s="1">
        <v>7</v>
      </c>
      <c r="M277" s="1">
        <f t="shared" si="32"/>
        <v>7969181</v>
      </c>
      <c r="N277" s="1">
        <f t="shared" si="33"/>
        <v>7615613</v>
      </c>
      <c r="O277" s="4">
        <f t="shared" si="29"/>
        <v>0.95563308199424757</v>
      </c>
      <c r="P277" s="4">
        <f t="shared" si="30"/>
        <v>5.785123966942149</v>
      </c>
      <c r="Q277" s="4">
        <f t="shared" si="31"/>
        <v>5.9310517605259556E-5</v>
      </c>
    </row>
    <row r="278" spans="1:17">
      <c r="A278" s="1" t="s">
        <v>300</v>
      </c>
      <c r="B278" s="1" t="s">
        <v>26</v>
      </c>
      <c r="C278" s="1" t="s">
        <v>29</v>
      </c>
      <c r="D278" s="1" t="s">
        <v>391</v>
      </c>
      <c r="E278" s="1">
        <v>32524</v>
      </c>
      <c r="F278" s="1">
        <v>308383</v>
      </c>
      <c r="G278" s="1">
        <f t="shared" si="28"/>
        <v>340907</v>
      </c>
      <c r="H278" s="1">
        <v>15083</v>
      </c>
      <c r="I278" s="1">
        <v>10</v>
      </c>
      <c r="J278" s="1">
        <v>128</v>
      </c>
      <c r="K278" s="1">
        <f t="shared" si="34"/>
        <v>1930624</v>
      </c>
      <c r="L278" s="1">
        <v>1</v>
      </c>
      <c r="M278" s="1">
        <f t="shared" si="32"/>
        <v>1915541</v>
      </c>
      <c r="N278" s="1">
        <f t="shared" si="33"/>
        <v>1574634</v>
      </c>
      <c r="O278" s="4">
        <f t="shared" si="29"/>
        <v>0.82203095626770717</v>
      </c>
      <c r="P278" s="4">
        <f t="shared" si="30"/>
        <v>0.78740157480314954</v>
      </c>
      <c r="Q278" s="4">
        <f t="shared" si="31"/>
        <v>5.1796724789498116E-4</v>
      </c>
    </row>
    <row r="279" spans="1:17">
      <c r="A279" s="1" t="s">
        <v>301</v>
      </c>
      <c r="B279" s="1" t="s">
        <v>17</v>
      </c>
      <c r="C279" s="1" t="s">
        <v>21</v>
      </c>
      <c r="D279" s="1" t="s">
        <v>392</v>
      </c>
      <c r="E279" s="1">
        <v>18267</v>
      </c>
      <c r="F279" s="1">
        <v>93180</v>
      </c>
      <c r="G279" s="1">
        <f t="shared" si="28"/>
        <v>111447</v>
      </c>
      <c r="H279" s="1">
        <v>36926</v>
      </c>
      <c r="I279" s="1">
        <v>2</v>
      </c>
      <c r="J279" s="1">
        <v>18</v>
      </c>
      <c r="K279" s="1">
        <f t="shared" si="34"/>
        <v>664668</v>
      </c>
      <c r="L279" s="1">
        <v>11</v>
      </c>
      <c r="M279" s="1">
        <f t="shared" si="32"/>
        <v>258482</v>
      </c>
      <c r="N279" s="1">
        <f t="shared" si="33"/>
        <v>147035</v>
      </c>
      <c r="O279" s="4">
        <f t="shared" si="29"/>
        <v>0.56884038346964194</v>
      </c>
      <c r="P279" s="4">
        <f t="shared" si="30"/>
        <v>157.14285714285714</v>
      </c>
      <c r="Q279" s="4">
        <f t="shared" si="31"/>
        <v>3.0090210450931892E-4</v>
      </c>
    </row>
    <row r="280" spans="1:17">
      <c r="A280" s="1" t="s">
        <v>302</v>
      </c>
      <c r="B280" s="1" t="s">
        <v>26</v>
      </c>
      <c r="C280" s="1" t="s">
        <v>21</v>
      </c>
      <c r="D280" s="1" t="s">
        <v>392</v>
      </c>
      <c r="E280" s="1">
        <v>23462</v>
      </c>
      <c r="F280" s="1">
        <v>80682</v>
      </c>
      <c r="G280" s="1">
        <f t="shared" si="28"/>
        <v>104144</v>
      </c>
      <c r="H280" s="1">
        <v>75275</v>
      </c>
      <c r="I280" s="1">
        <v>20</v>
      </c>
      <c r="J280" s="1">
        <v>73</v>
      </c>
      <c r="K280" s="1">
        <f t="shared" si="34"/>
        <v>5495075</v>
      </c>
      <c r="L280" s="1">
        <v>18</v>
      </c>
      <c r="M280" s="1">
        <f t="shared" si="32"/>
        <v>4140125</v>
      </c>
      <c r="N280" s="1">
        <f t="shared" si="33"/>
        <v>4035981</v>
      </c>
      <c r="O280" s="4">
        <f t="shared" si="29"/>
        <v>0.97484520394915608</v>
      </c>
      <c r="P280" s="4">
        <f t="shared" si="30"/>
        <v>32.727272727272727</v>
      </c>
      <c r="Q280" s="4">
        <f t="shared" si="31"/>
        <v>3.6396227531016411E-4</v>
      </c>
    </row>
    <row r="281" spans="1:17">
      <c r="A281" s="1" t="s">
        <v>303</v>
      </c>
      <c r="B281" s="1" t="s">
        <v>14</v>
      </c>
      <c r="C281" s="1" t="s">
        <v>29</v>
      </c>
      <c r="D281" s="1" t="s">
        <v>392</v>
      </c>
      <c r="E281" s="1">
        <v>39577</v>
      </c>
      <c r="F281" s="1">
        <v>217815</v>
      </c>
      <c r="G281" s="1">
        <f t="shared" si="28"/>
        <v>257392</v>
      </c>
      <c r="H281" s="1">
        <v>45777</v>
      </c>
      <c r="I281" s="1">
        <v>5</v>
      </c>
      <c r="J281" s="1">
        <v>145</v>
      </c>
      <c r="K281" s="1">
        <f t="shared" si="34"/>
        <v>6637665</v>
      </c>
      <c r="L281" s="1">
        <v>27</v>
      </c>
      <c r="M281" s="1">
        <f t="shared" si="32"/>
        <v>5401686</v>
      </c>
      <c r="N281" s="1">
        <f t="shared" si="33"/>
        <v>5144294</v>
      </c>
      <c r="O281" s="4">
        <f t="shared" si="29"/>
        <v>0.95234969229977451</v>
      </c>
      <c r="P281" s="4">
        <f t="shared" si="30"/>
        <v>22.881355932203391</v>
      </c>
      <c r="Q281" s="4">
        <f t="shared" si="31"/>
        <v>7.5327694302137869E-5</v>
      </c>
    </row>
    <row r="282" spans="1:17">
      <c r="A282" s="1" t="s">
        <v>304</v>
      </c>
      <c r="B282" s="1" t="s">
        <v>14</v>
      </c>
      <c r="C282" s="1" t="s">
        <v>29</v>
      </c>
      <c r="D282" s="1" t="s">
        <v>392</v>
      </c>
      <c r="E282" s="1">
        <v>20973</v>
      </c>
      <c r="F282" s="1">
        <v>306964</v>
      </c>
      <c r="G282" s="1">
        <f t="shared" si="28"/>
        <v>327937</v>
      </c>
      <c r="H282" s="1">
        <v>38763</v>
      </c>
      <c r="I282" s="1">
        <v>15</v>
      </c>
      <c r="J282" s="1">
        <v>79</v>
      </c>
      <c r="K282" s="1">
        <f t="shared" si="34"/>
        <v>3062277</v>
      </c>
      <c r="L282" s="1">
        <v>31</v>
      </c>
      <c r="M282" s="1">
        <f t="shared" si="32"/>
        <v>1860624</v>
      </c>
      <c r="N282" s="1">
        <f t="shared" si="33"/>
        <v>1532687</v>
      </c>
      <c r="O282" s="4">
        <f t="shared" si="29"/>
        <v>0.82374891434271513</v>
      </c>
      <c r="P282" s="4">
        <f t="shared" si="30"/>
        <v>64.583333333333343</v>
      </c>
      <c r="Q282" s="4">
        <f t="shared" si="31"/>
        <v>4.8983158610406571E-4</v>
      </c>
    </row>
    <row r="283" spans="1:17">
      <c r="A283" s="1" t="s">
        <v>305</v>
      </c>
      <c r="B283" s="1" t="s">
        <v>26</v>
      </c>
      <c r="C283" s="1" t="s">
        <v>15</v>
      </c>
      <c r="D283" s="1" t="s">
        <v>392</v>
      </c>
      <c r="E283" s="1">
        <v>40238</v>
      </c>
      <c r="F283" s="1">
        <v>230208</v>
      </c>
      <c r="G283" s="1">
        <f t="shared" si="28"/>
        <v>270446</v>
      </c>
      <c r="H283" s="1">
        <v>40976</v>
      </c>
      <c r="I283" s="1">
        <v>10</v>
      </c>
      <c r="J283" s="1">
        <v>110</v>
      </c>
      <c r="K283" s="1">
        <f t="shared" si="34"/>
        <v>4507360</v>
      </c>
      <c r="L283" s="1">
        <v>39</v>
      </c>
      <c r="M283" s="1">
        <f t="shared" si="32"/>
        <v>2909296</v>
      </c>
      <c r="N283" s="1">
        <f t="shared" si="33"/>
        <v>2638850</v>
      </c>
      <c r="O283" s="4">
        <f t="shared" si="29"/>
        <v>0.90704074112775046</v>
      </c>
      <c r="P283" s="4">
        <f t="shared" si="30"/>
        <v>54.929577464788736</v>
      </c>
      <c r="Q283" s="4">
        <f t="shared" si="31"/>
        <v>2.2185935891519648E-4</v>
      </c>
    </row>
    <row r="284" spans="1:17">
      <c r="A284" s="1" t="s">
        <v>306</v>
      </c>
      <c r="B284" s="1" t="s">
        <v>20</v>
      </c>
      <c r="C284" s="1" t="s">
        <v>18</v>
      </c>
      <c r="D284" s="1" t="s">
        <v>391</v>
      </c>
      <c r="E284" s="1">
        <v>29128</v>
      </c>
      <c r="F284" s="1">
        <v>335069</v>
      </c>
      <c r="G284" s="1">
        <f t="shared" si="28"/>
        <v>364197</v>
      </c>
      <c r="H284" s="1">
        <v>11476</v>
      </c>
      <c r="I284" s="1">
        <v>5</v>
      </c>
      <c r="J284" s="1">
        <v>33</v>
      </c>
      <c r="K284" s="1">
        <f t="shared" si="34"/>
        <v>378708</v>
      </c>
      <c r="L284" s="1">
        <v>24</v>
      </c>
      <c r="M284" s="1">
        <f t="shared" si="32"/>
        <v>103284</v>
      </c>
      <c r="N284" s="1">
        <f t="shared" si="33"/>
        <v>-260913</v>
      </c>
      <c r="O284" s="4">
        <f t="shared" si="29"/>
        <v>-2.5261705588474497</v>
      </c>
      <c r="P284" s="4">
        <f t="shared" si="30"/>
        <v>266.66666666666663</v>
      </c>
      <c r="Q284" s="4">
        <f t="shared" si="31"/>
        <v>1.3202784203132755E-3</v>
      </c>
    </row>
    <row r="285" spans="1:17">
      <c r="A285" s="1" t="s">
        <v>307</v>
      </c>
      <c r="B285" s="1" t="s">
        <v>20</v>
      </c>
      <c r="C285" s="1" t="s">
        <v>18</v>
      </c>
      <c r="D285" s="1" t="s">
        <v>391</v>
      </c>
      <c r="E285" s="1">
        <v>10886</v>
      </c>
      <c r="F285" s="1">
        <v>124256</v>
      </c>
      <c r="G285" s="1">
        <f t="shared" si="28"/>
        <v>135142</v>
      </c>
      <c r="H285" s="1">
        <v>11827</v>
      </c>
      <c r="I285" s="1">
        <v>20</v>
      </c>
      <c r="J285" s="1">
        <v>127</v>
      </c>
      <c r="K285" s="1">
        <f t="shared" si="34"/>
        <v>1502029</v>
      </c>
      <c r="L285" s="1">
        <v>2</v>
      </c>
      <c r="M285" s="1">
        <f t="shared" si="32"/>
        <v>1478375</v>
      </c>
      <c r="N285" s="1">
        <f t="shared" si="33"/>
        <v>1343233</v>
      </c>
      <c r="O285" s="4">
        <f t="shared" si="29"/>
        <v>0.90858746934979284</v>
      </c>
      <c r="P285" s="4">
        <f t="shared" si="30"/>
        <v>1.6</v>
      </c>
      <c r="Q285" s="4">
        <f t="shared" si="31"/>
        <v>1.3315322140917385E-3</v>
      </c>
    </row>
    <row r="286" spans="1:17">
      <c r="A286" s="1" t="s">
        <v>308</v>
      </c>
      <c r="B286" s="1" t="s">
        <v>26</v>
      </c>
      <c r="C286" s="1" t="s">
        <v>74</v>
      </c>
      <c r="D286" s="1" t="s">
        <v>391</v>
      </c>
      <c r="E286" s="1">
        <v>33902</v>
      </c>
      <c r="F286" s="1">
        <v>52629</v>
      </c>
      <c r="G286" s="1">
        <f t="shared" si="28"/>
        <v>86531</v>
      </c>
      <c r="H286" s="1">
        <v>61940</v>
      </c>
      <c r="I286" s="1">
        <v>20</v>
      </c>
      <c r="J286" s="1">
        <v>72</v>
      </c>
      <c r="K286" s="1">
        <f t="shared" si="34"/>
        <v>4459680</v>
      </c>
      <c r="L286" s="1">
        <v>19</v>
      </c>
      <c r="M286" s="1">
        <f t="shared" si="32"/>
        <v>3282820</v>
      </c>
      <c r="N286" s="1">
        <f t="shared" si="33"/>
        <v>3196289</v>
      </c>
      <c r="O286" s="4">
        <f t="shared" si="29"/>
        <v>0.97364125964871662</v>
      </c>
      <c r="P286" s="4">
        <f t="shared" si="30"/>
        <v>35.849056603773583</v>
      </c>
      <c r="Q286" s="4">
        <f t="shared" si="31"/>
        <v>4.4846266996735189E-4</v>
      </c>
    </row>
    <row r="287" spans="1:17">
      <c r="A287" s="1" t="s">
        <v>309</v>
      </c>
      <c r="B287" s="1" t="s">
        <v>17</v>
      </c>
      <c r="C287" s="1" t="s">
        <v>18</v>
      </c>
      <c r="D287" s="1" t="s">
        <v>391</v>
      </c>
      <c r="E287" s="1">
        <v>35415</v>
      </c>
      <c r="F287" s="1">
        <v>303177</v>
      </c>
      <c r="G287" s="1">
        <f t="shared" si="28"/>
        <v>338592</v>
      </c>
      <c r="H287" s="1">
        <v>75599</v>
      </c>
      <c r="I287" s="1">
        <v>20</v>
      </c>
      <c r="J287" s="1">
        <v>123</v>
      </c>
      <c r="K287" s="1">
        <f t="shared" si="34"/>
        <v>9298677</v>
      </c>
      <c r="L287" s="1">
        <v>19</v>
      </c>
      <c r="M287" s="1">
        <f t="shared" si="32"/>
        <v>7862296</v>
      </c>
      <c r="N287" s="1">
        <f t="shared" si="33"/>
        <v>7523704</v>
      </c>
      <c r="O287" s="4">
        <f t="shared" si="29"/>
        <v>0.95693471728869017</v>
      </c>
      <c r="P287" s="4">
        <f t="shared" si="30"/>
        <v>18.269230769230766</v>
      </c>
      <c r="Q287" s="4">
        <f t="shared" si="31"/>
        <v>2.150843609257532E-4</v>
      </c>
    </row>
    <row r="288" spans="1:17">
      <c r="A288" s="1" t="s">
        <v>310</v>
      </c>
      <c r="B288" s="1" t="s">
        <v>14</v>
      </c>
      <c r="C288" s="1" t="s">
        <v>21</v>
      </c>
      <c r="D288" s="1" t="s">
        <v>391</v>
      </c>
      <c r="E288" s="1">
        <v>32697</v>
      </c>
      <c r="F288" s="1">
        <v>212395</v>
      </c>
      <c r="G288" s="1">
        <f t="shared" si="28"/>
        <v>245092</v>
      </c>
      <c r="H288" s="1">
        <v>64110</v>
      </c>
      <c r="I288" s="1">
        <v>10</v>
      </c>
      <c r="J288" s="1">
        <v>25</v>
      </c>
      <c r="K288" s="1">
        <f t="shared" si="34"/>
        <v>1602750</v>
      </c>
      <c r="L288" s="1">
        <v>18</v>
      </c>
      <c r="M288" s="1">
        <f t="shared" si="32"/>
        <v>448770</v>
      </c>
      <c r="N288" s="1">
        <f t="shared" si="33"/>
        <v>203678</v>
      </c>
      <c r="O288" s="4">
        <f t="shared" si="29"/>
        <v>0.45385832386300334</v>
      </c>
      <c r="P288" s="4">
        <f t="shared" si="30"/>
        <v>257.14285714285717</v>
      </c>
      <c r="Q288" s="4">
        <f t="shared" si="31"/>
        <v>6.2392762439557011E-4</v>
      </c>
    </row>
    <row r="289" spans="1:17">
      <c r="A289" s="1" t="s">
        <v>311</v>
      </c>
      <c r="B289" s="1" t="s">
        <v>17</v>
      </c>
      <c r="C289" s="1" t="s">
        <v>29</v>
      </c>
      <c r="D289" s="1" t="s">
        <v>391</v>
      </c>
      <c r="E289" s="1">
        <v>35183</v>
      </c>
      <c r="F289" s="1">
        <v>377699</v>
      </c>
      <c r="G289" s="1">
        <f t="shared" si="28"/>
        <v>412882</v>
      </c>
      <c r="H289" s="1">
        <v>68333</v>
      </c>
      <c r="I289" s="1">
        <v>0</v>
      </c>
      <c r="J289" s="1">
        <v>22</v>
      </c>
      <c r="K289" s="1">
        <f t="shared" si="34"/>
        <v>1503326</v>
      </c>
      <c r="L289" s="1">
        <v>15</v>
      </c>
      <c r="M289" s="1">
        <f t="shared" si="32"/>
        <v>478331</v>
      </c>
      <c r="N289" s="1">
        <f t="shared" si="33"/>
        <v>65449</v>
      </c>
      <c r="O289" s="4">
        <f t="shared" si="29"/>
        <v>0.13682784515325161</v>
      </c>
      <c r="P289" s="4">
        <f t="shared" si="30"/>
        <v>214.28571428571428</v>
      </c>
      <c r="Q289" s="4">
        <f t="shared" si="31"/>
        <v>0</v>
      </c>
    </row>
    <row r="290" spans="1:17">
      <c r="A290" s="1" t="s">
        <v>312</v>
      </c>
      <c r="B290" s="1" t="s">
        <v>17</v>
      </c>
      <c r="C290" s="1" t="s">
        <v>29</v>
      </c>
      <c r="D290" s="1" t="s">
        <v>391</v>
      </c>
      <c r="E290" s="1">
        <v>42201</v>
      </c>
      <c r="F290" s="1">
        <v>358910</v>
      </c>
      <c r="G290" s="1">
        <f t="shared" si="28"/>
        <v>401111</v>
      </c>
      <c r="H290" s="1">
        <v>33495</v>
      </c>
      <c r="I290" s="1">
        <v>10</v>
      </c>
      <c r="J290" s="1">
        <v>65</v>
      </c>
      <c r="K290" s="1">
        <f t="shared" si="34"/>
        <v>2177175</v>
      </c>
      <c r="L290" s="1">
        <v>2</v>
      </c>
      <c r="M290" s="1">
        <f t="shared" si="32"/>
        <v>2110185</v>
      </c>
      <c r="N290" s="1">
        <f t="shared" si="33"/>
        <v>1709074</v>
      </c>
      <c r="O290" s="4">
        <f t="shared" si="29"/>
        <v>0.80991666607430157</v>
      </c>
      <c r="P290" s="4">
        <f t="shared" si="30"/>
        <v>3.1746031746031744</v>
      </c>
      <c r="Q290" s="4">
        <f t="shared" si="31"/>
        <v>4.5931080413839031E-4</v>
      </c>
    </row>
    <row r="291" spans="1:17">
      <c r="A291" s="1" t="s">
        <v>313</v>
      </c>
      <c r="B291" s="1" t="s">
        <v>26</v>
      </c>
      <c r="C291" s="1" t="s">
        <v>15</v>
      </c>
      <c r="D291" s="1" t="s">
        <v>392</v>
      </c>
      <c r="E291" s="1">
        <v>40235</v>
      </c>
      <c r="F291" s="1">
        <v>363017</v>
      </c>
      <c r="G291" s="1">
        <f t="shared" si="28"/>
        <v>403252</v>
      </c>
      <c r="H291" s="1">
        <v>44394</v>
      </c>
      <c r="I291" s="1">
        <v>5</v>
      </c>
      <c r="J291" s="1">
        <v>51</v>
      </c>
      <c r="K291" s="1">
        <f t="shared" si="34"/>
        <v>2264094</v>
      </c>
      <c r="L291" s="1">
        <v>33</v>
      </c>
      <c r="M291" s="1">
        <f t="shared" si="32"/>
        <v>799092</v>
      </c>
      <c r="N291" s="1">
        <f t="shared" si="33"/>
        <v>395840</v>
      </c>
      <c r="O291" s="4">
        <f t="shared" si="29"/>
        <v>0.49536223613801666</v>
      </c>
      <c r="P291" s="4">
        <f t="shared" si="30"/>
        <v>183.33333333333331</v>
      </c>
      <c r="Q291" s="4">
        <f t="shared" si="31"/>
        <v>2.2083888743135226E-4</v>
      </c>
    </row>
    <row r="292" spans="1:17">
      <c r="A292" s="1" t="s">
        <v>314</v>
      </c>
      <c r="B292" s="1" t="s">
        <v>17</v>
      </c>
      <c r="C292" s="1" t="s">
        <v>21</v>
      </c>
      <c r="D292" s="1" t="s">
        <v>392</v>
      </c>
      <c r="E292" s="1">
        <v>43277</v>
      </c>
      <c r="F292" s="1">
        <v>293728</v>
      </c>
      <c r="G292" s="1">
        <f t="shared" si="28"/>
        <v>337005</v>
      </c>
      <c r="H292" s="1">
        <v>25230</v>
      </c>
      <c r="I292" s="1">
        <v>5</v>
      </c>
      <c r="J292" s="1">
        <v>135</v>
      </c>
      <c r="K292" s="1">
        <f t="shared" si="34"/>
        <v>3406050</v>
      </c>
      <c r="L292" s="1">
        <v>0</v>
      </c>
      <c r="M292" s="1">
        <f t="shared" si="32"/>
        <v>3406050</v>
      </c>
      <c r="N292" s="1">
        <f t="shared" si="33"/>
        <v>3069045</v>
      </c>
      <c r="O292" s="4">
        <f t="shared" si="29"/>
        <v>0.90105694279297133</v>
      </c>
      <c r="P292" s="4">
        <f t="shared" si="30"/>
        <v>0</v>
      </c>
      <c r="Q292" s="4">
        <f t="shared" si="31"/>
        <v>1.46797610134907E-4</v>
      </c>
    </row>
    <row r="293" spans="1:17">
      <c r="A293" s="1" t="s">
        <v>315</v>
      </c>
      <c r="B293" s="1" t="s">
        <v>26</v>
      </c>
      <c r="C293" s="1" t="s">
        <v>18</v>
      </c>
      <c r="D293" s="1" t="s">
        <v>391</v>
      </c>
      <c r="E293" s="1">
        <v>40698</v>
      </c>
      <c r="F293" s="1">
        <v>70592</v>
      </c>
      <c r="G293" s="1">
        <f t="shared" si="28"/>
        <v>111290</v>
      </c>
      <c r="H293" s="1">
        <v>52969</v>
      </c>
      <c r="I293" s="1">
        <v>10</v>
      </c>
      <c r="J293" s="1">
        <v>69</v>
      </c>
      <c r="K293" s="1">
        <f t="shared" si="34"/>
        <v>3654861</v>
      </c>
      <c r="L293" s="1">
        <v>23</v>
      </c>
      <c r="M293" s="1">
        <f t="shared" si="32"/>
        <v>2436574</v>
      </c>
      <c r="N293" s="1">
        <f t="shared" si="33"/>
        <v>2325284</v>
      </c>
      <c r="O293" s="4">
        <f t="shared" si="29"/>
        <v>0.9543252123678575</v>
      </c>
      <c r="P293" s="4">
        <f t="shared" si="30"/>
        <v>50</v>
      </c>
      <c r="Q293" s="4">
        <f t="shared" si="31"/>
        <v>2.7360821656418672E-4</v>
      </c>
    </row>
    <row r="294" spans="1:17">
      <c r="A294" s="1" t="s">
        <v>316</v>
      </c>
      <c r="B294" s="1" t="s">
        <v>20</v>
      </c>
      <c r="C294" s="1" t="s">
        <v>18</v>
      </c>
      <c r="D294" s="1" t="s">
        <v>391</v>
      </c>
      <c r="E294" s="1">
        <v>46151</v>
      </c>
      <c r="F294" s="1">
        <v>177888</v>
      </c>
      <c r="G294" s="1">
        <f t="shared" si="28"/>
        <v>224039</v>
      </c>
      <c r="H294" s="1">
        <v>42662</v>
      </c>
      <c r="I294" s="1">
        <v>5</v>
      </c>
      <c r="J294" s="1">
        <v>126</v>
      </c>
      <c r="K294" s="1">
        <f t="shared" si="34"/>
        <v>5375412</v>
      </c>
      <c r="L294" s="1">
        <v>17</v>
      </c>
      <c r="M294" s="1">
        <f t="shared" si="32"/>
        <v>4650158</v>
      </c>
      <c r="N294" s="1">
        <f t="shared" si="33"/>
        <v>4426119</v>
      </c>
      <c r="O294" s="4">
        <f t="shared" si="29"/>
        <v>0.95182120693533423</v>
      </c>
      <c r="P294" s="4">
        <f t="shared" si="30"/>
        <v>15.596330275229359</v>
      </c>
      <c r="Q294" s="4">
        <f t="shared" si="31"/>
        <v>9.301612601973579E-5</v>
      </c>
    </row>
    <row r="295" spans="1:17">
      <c r="A295" s="1" t="s">
        <v>317</v>
      </c>
      <c r="B295" s="1" t="s">
        <v>17</v>
      </c>
      <c r="C295" s="1" t="s">
        <v>21</v>
      </c>
      <c r="D295" s="1" t="s">
        <v>392</v>
      </c>
      <c r="E295" s="1">
        <v>39748</v>
      </c>
      <c r="F295" s="1">
        <v>351750</v>
      </c>
      <c r="G295" s="1">
        <f t="shared" si="28"/>
        <v>391498</v>
      </c>
      <c r="H295" s="1">
        <v>59407</v>
      </c>
      <c r="I295" s="1">
        <v>5</v>
      </c>
      <c r="J295" s="1">
        <v>103</v>
      </c>
      <c r="K295" s="1">
        <f t="shared" si="34"/>
        <v>6118921</v>
      </c>
      <c r="L295" s="1">
        <v>5</v>
      </c>
      <c r="M295" s="1">
        <f t="shared" si="32"/>
        <v>5821886</v>
      </c>
      <c r="N295" s="1">
        <f t="shared" si="33"/>
        <v>5430388</v>
      </c>
      <c r="O295" s="4">
        <f t="shared" si="29"/>
        <v>0.93275409377648411</v>
      </c>
      <c r="P295" s="4">
        <f t="shared" si="30"/>
        <v>5.1020408163265305</v>
      </c>
      <c r="Q295" s="4">
        <f t="shared" si="31"/>
        <v>8.1713753127389617E-5</v>
      </c>
    </row>
    <row r="296" spans="1:17">
      <c r="A296" s="1" t="s">
        <v>318</v>
      </c>
      <c r="B296" s="1" t="s">
        <v>26</v>
      </c>
      <c r="C296" s="1" t="s">
        <v>21</v>
      </c>
      <c r="D296" s="1" t="s">
        <v>391</v>
      </c>
      <c r="E296" s="1">
        <v>20785</v>
      </c>
      <c r="F296" s="1">
        <v>250486</v>
      </c>
      <c r="G296" s="1">
        <f t="shared" si="28"/>
        <v>271271</v>
      </c>
      <c r="H296" s="1">
        <v>42632</v>
      </c>
      <c r="I296" s="1">
        <v>15</v>
      </c>
      <c r="J296" s="1">
        <v>32</v>
      </c>
      <c r="K296" s="1">
        <f t="shared" si="34"/>
        <v>1364224</v>
      </c>
      <c r="L296" s="1">
        <v>19</v>
      </c>
      <c r="M296" s="1">
        <f t="shared" si="32"/>
        <v>554216</v>
      </c>
      <c r="N296" s="1">
        <f t="shared" si="33"/>
        <v>282945</v>
      </c>
      <c r="O296" s="4">
        <f t="shared" si="29"/>
        <v>0.51053199474573085</v>
      </c>
      <c r="P296" s="4">
        <f t="shared" si="30"/>
        <v>146.15384615384613</v>
      </c>
      <c r="Q296" s="4">
        <f t="shared" si="31"/>
        <v>1.0995261775192343E-3</v>
      </c>
    </row>
    <row r="297" spans="1:17">
      <c r="A297" s="1" t="s">
        <v>319</v>
      </c>
      <c r="B297" s="1" t="s">
        <v>14</v>
      </c>
      <c r="C297" s="1" t="s">
        <v>15</v>
      </c>
      <c r="D297" s="1" t="s">
        <v>391</v>
      </c>
      <c r="E297" s="1">
        <v>35941</v>
      </c>
      <c r="F297" s="1">
        <v>299692</v>
      </c>
      <c r="G297" s="1">
        <f t="shared" si="28"/>
        <v>335633</v>
      </c>
      <c r="H297" s="1">
        <v>48261</v>
      </c>
      <c r="I297" s="1">
        <v>5</v>
      </c>
      <c r="J297" s="1">
        <v>143</v>
      </c>
      <c r="K297" s="1">
        <f t="shared" si="34"/>
        <v>6901323</v>
      </c>
      <c r="L297" s="1">
        <v>10</v>
      </c>
      <c r="M297" s="1">
        <f t="shared" si="32"/>
        <v>6418713</v>
      </c>
      <c r="N297" s="1">
        <f t="shared" si="33"/>
        <v>6083080</v>
      </c>
      <c r="O297" s="4">
        <f t="shared" si="29"/>
        <v>0.94771023412325806</v>
      </c>
      <c r="P297" s="4">
        <f t="shared" si="30"/>
        <v>7.518796992481203</v>
      </c>
      <c r="Q297" s="4">
        <f t="shared" si="31"/>
        <v>7.2449876639595046E-5</v>
      </c>
    </row>
    <row r="298" spans="1:17">
      <c r="A298" s="1" t="s">
        <v>320</v>
      </c>
      <c r="B298" s="1" t="s">
        <v>17</v>
      </c>
      <c r="C298" s="1" t="s">
        <v>29</v>
      </c>
      <c r="D298" s="1" t="s">
        <v>392</v>
      </c>
      <c r="E298" s="1">
        <v>5418</v>
      </c>
      <c r="F298" s="1">
        <v>128411</v>
      </c>
      <c r="G298" s="1">
        <f t="shared" si="28"/>
        <v>133829</v>
      </c>
      <c r="H298" s="1">
        <v>16526</v>
      </c>
      <c r="I298" s="1">
        <v>10</v>
      </c>
      <c r="J298" s="1">
        <v>80</v>
      </c>
      <c r="K298" s="1">
        <f t="shared" si="34"/>
        <v>1322080</v>
      </c>
      <c r="L298" s="1">
        <v>35</v>
      </c>
      <c r="M298" s="1">
        <f t="shared" si="32"/>
        <v>743670</v>
      </c>
      <c r="N298" s="1">
        <f t="shared" si="33"/>
        <v>609841</v>
      </c>
      <c r="O298" s="4">
        <f t="shared" si="29"/>
        <v>0.82004249196552237</v>
      </c>
      <c r="P298" s="4">
        <f t="shared" si="30"/>
        <v>77.777777777777786</v>
      </c>
      <c r="Q298" s="4">
        <f t="shared" si="31"/>
        <v>7.5638387994675057E-4</v>
      </c>
    </row>
    <row r="299" spans="1:17">
      <c r="A299" s="1" t="s">
        <v>321</v>
      </c>
      <c r="B299" s="1" t="s">
        <v>20</v>
      </c>
      <c r="C299" s="1" t="s">
        <v>21</v>
      </c>
      <c r="D299" s="1" t="s">
        <v>391</v>
      </c>
      <c r="E299" s="1">
        <v>21176</v>
      </c>
      <c r="F299" s="1">
        <v>332696</v>
      </c>
      <c r="G299" s="1">
        <f t="shared" si="28"/>
        <v>353872</v>
      </c>
      <c r="H299" s="1">
        <v>39577</v>
      </c>
      <c r="I299" s="1">
        <v>20</v>
      </c>
      <c r="J299" s="1">
        <v>95</v>
      </c>
      <c r="K299" s="1">
        <f t="shared" si="34"/>
        <v>3759815</v>
      </c>
      <c r="L299" s="1">
        <v>28</v>
      </c>
      <c r="M299" s="1">
        <f t="shared" si="32"/>
        <v>2651659</v>
      </c>
      <c r="N299" s="1">
        <f t="shared" si="33"/>
        <v>2297787</v>
      </c>
      <c r="O299" s="4">
        <f t="shared" si="29"/>
        <v>0.86654694287613909</v>
      </c>
      <c r="P299" s="4">
        <f t="shared" si="30"/>
        <v>41.791044776119399</v>
      </c>
      <c r="Q299" s="4">
        <f t="shared" si="31"/>
        <v>5.3194106624927025E-4</v>
      </c>
    </row>
    <row r="300" spans="1:17">
      <c r="A300" s="1" t="s">
        <v>322</v>
      </c>
      <c r="B300" s="1" t="s">
        <v>17</v>
      </c>
      <c r="C300" s="1" t="s">
        <v>21</v>
      </c>
      <c r="D300" s="1" t="s">
        <v>391</v>
      </c>
      <c r="E300" s="1">
        <v>6872</v>
      </c>
      <c r="F300" s="1">
        <v>363203</v>
      </c>
      <c r="G300" s="1">
        <f t="shared" si="28"/>
        <v>370075</v>
      </c>
      <c r="H300" s="1">
        <v>59137</v>
      </c>
      <c r="I300" s="1">
        <v>5</v>
      </c>
      <c r="J300" s="1">
        <v>112</v>
      </c>
      <c r="K300" s="1">
        <f t="shared" si="34"/>
        <v>6623344</v>
      </c>
      <c r="L300" s="1">
        <v>1</v>
      </c>
      <c r="M300" s="1">
        <f t="shared" si="32"/>
        <v>6564207</v>
      </c>
      <c r="N300" s="1">
        <f t="shared" si="33"/>
        <v>6194132</v>
      </c>
      <c r="O300" s="4">
        <f t="shared" si="29"/>
        <v>0.94362228369702539</v>
      </c>
      <c r="P300" s="4">
        <f t="shared" si="30"/>
        <v>0.90090090090090091</v>
      </c>
      <c r="Q300" s="4">
        <f t="shared" si="31"/>
        <v>7.5490567906483488E-5</v>
      </c>
    </row>
    <row r="301" spans="1:17">
      <c r="A301" s="1" t="s">
        <v>323</v>
      </c>
      <c r="B301" s="1" t="s">
        <v>17</v>
      </c>
      <c r="C301" s="1" t="s">
        <v>15</v>
      </c>
      <c r="D301" s="1" t="s">
        <v>392</v>
      </c>
      <c r="E301" s="1">
        <v>46748</v>
      </c>
      <c r="F301" s="1">
        <v>102293</v>
      </c>
      <c r="G301" s="1">
        <f t="shared" si="28"/>
        <v>149041</v>
      </c>
      <c r="H301" s="1">
        <v>81731</v>
      </c>
      <c r="I301" s="1">
        <v>10</v>
      </c>
      <c r="J301" s="1">
        <v>83</v>
      </c>
      <c r="K301" s="1">
        <f t="shared" si="34"/>
        <v>6783673</v>
      </c>
      <c r="L301" s="1">
        <v>37</v>
      </c>
      <c r="M301" s="1">
        <f t="shared" si="32"/>
        <v>3759626</v>
      </c>
      <c r="N301" s="1">
        <f t="shared" si="33"/>
        <v>3610585</v>
      </c>
      <c r="O301" s="4">
        <f t="shared" si="29"/>
        <v>0.9603574930059533</v>
      </c>
      <c r="P301" s="4">
        <f t="shared" si="30"/>
        <v>80.434782608695656</v>
      </c>
      <c r="Q301" s="4">
        <f t="shared" si="31"/>
        <v>1.4741276591604579E-4</v>
      </c>
    </row>
    <row r="302" spans="1:17">
      <c r="A302" s="1" t="s">
        <v>324</v>
      </c>
      <c r="B302" s="1" t="s">
        <v>26</v>
      </c>
      <c r="C302" s="1" t="s">
        <v>21</v>
      </c>
      <c r="D302" s="1" t="s">
        <v>391</v>
      </c>
      <c r="E302" s="1">
        <v>20706</v>
      </c>
      <c r="F302" s="1">
        <v>57683</v>
      </c>
      <c r="G302" s="1">
        <f t="shared" si="28"/>
        <v>78389</v>
      </c>
      <c r="H302" s="1">
        <v>37935</v>
      </c>
      <c r="I302" s="1">
        <v>15</v>
      </c>
      <c r="J302" s="1">
        <v>116</v>
      </c>
      <c r="K302" s="1">
        <f t="shared" si="34"/>
        <v>4400460</v>
      </c>
      <c r="L302" s="1">
        <v>38</v>
      </c>
      <c r="M302" s="1">
        <f t="shared" si="32"/>
        <v>2958930</v>
      </c>
      <c r="N302" s="1">
        <f t="shared" si="33"/>
        <v>2880541</v>
      </c>
      <c r="O302" s="4">
        <f t="shared" si="29"/>
        <v>0.97350765310433163</v>
      </c>
      <c r="P302" s="4">
        <f t="shared" si="30"/>
        <v>48.717948717948715</v>
      </c>
      <c r="Q302" s="4">
        <f t="shared" si="31"/>
        <v>3.4087345413888551E-4</v>
      </c>
    </row>
    <row r="303" spans="1:17">
      <c r="A303" s="1" t="s">
        <v>325</v>
      </c>
      <c r="B303" s="1" t="s">
        <v>20</v>
      </c>
      <c r="C303" s="1" t="s">
        <v>21</v>
      </c>
      <c r="D303" s="1" t="s">
        <v>392</v>
      </c>
      <c r="E303" s="1">
        <v>19312</v>
      </c>
      <c r="F303" s="1">
        <v>103265</v>
      </c>
      <c r="G303" s="1">
        <f t="shared" si="28"/>
        <v>122577</v>
      </c>
      <c r="H303" s="1">
        <v>66402</v>
      </c>
      <c r="I303" s="1">
        <v>5</v>
      </c>
      <c r="J303" s="1">
        <v>122</v>
      </c>
      <c r="K303" s="1">
        <f t="shared" si="34"/>
        <v>8101044</v>
      </c>
      <c r="L303" s="1">
        <v>16</v>
      </c>
      <c r="M303" s="1">
        <f t="shared" si="32"/>
        <v>7038612</v>
      </c>
      <c r="N303" s="1">
        <f t="shared" si="33"/>
        <v>6916035</v>
      </c>
      <c r="O303" s="4">
        <f t="shared" si="29"/>
        <v>0.98258506080460184</v>
      </c>
      <c r="P303" s="4">
        <f t="shared" si="30"/>
        <v>15.09433962264151</v>
      </c>
      <c r="Q303" s="4">
        <f t="shared" si="31"/>
        <v>6.1720439982797278E-5</v>
      </c>
    </row>
    <row r="304" spans="1:17">
      <c r="A304" s="1" t="s">
        <v>326</v>
      </c>
      <c r="B304" s="1" t="s">
        <v>26</v>
      </c>
      <c r="C304" s="1" t="s">
        <v>18</v>
      </c>
      <c r="D304" s="1" t="s">
        <v>392</v>
      </c>
      <c r="E304" s="1">
        <v>6794</v>
      </c>
      <c r="F304" s="1">
        <v>168305</v>
      </c>
      <c r="G304" s="1">
        <f t="shared" si="28"/>
        <v>175099</v>
      </c>
      <c r="H304" s="1">
        <v>81030</v>
      </c>
      <c r="I304" s="1">
        <v>0</v>
      </c>
      <c r="J304" s="1">
        <v>131</v>
      </c>
      <c r="K304" s="1">
        <f t="shared" si="34"/>
        <v>10614930</v>
      </c>
      <c r="L304" s="1">
        <v>6</v>
      </c>
      <c r="M304" s="1">
        <f t="shared" si="32"/>
        <v>10128750</v>
      </c>
      <c r="N304" s="1">
        <f t="shared" si="33"/>
        <v>9953651</v>
      </c>
      <c r="O304" s="4">
        <f t="shared" si="29"/>
        <v>0.98271267431815379</v>
      </c>
      <c r="P304" s="4">
        <f t="shared" si="30"/>
        <v>4.8</v>
      </c>
      <c r="Q304" s="4">
        <f t="shared" si="31"/>
        <v>0</v>
      </c>
    </row>
    <row r="305" spans="1:17">
      <c r="A305" s="1" t="s">
        <v>327</v>
      </c>
      <c r="B305" s="1" t="s">
        <v>26</v>
      </c>
      <c r="C305" s="1" t="s">
        <v>29</v>
      </c>
      <c r="D305" s="1" t="s">
        <v>392</v>
      </c>
      <c r="E305" s="1">
        <v>9419</v>
      </c>
      <c r="F305" s="1">
        <v>175954</v>
      </c>
      <c r="G305" s="1">
        <f t="shared" si="28"/>
        <v>185373</v>
      </c>
      <c r="H305" s="1">
        <v>27479</v>
      </c>
      <c r="I305" s="1">
        <v>15</v>
      </c>
      <c r="J305" s="1">
        <v>16</v>
      </c>
      <c r="K305" s="1">
        <f t="shared" si="34"/>
        <v>439664</v>
      </c>
      <c r="L305" s="1">
        <v>33</v>
      </c>
      <c r="M305" s="1">
        <f t="shared" si="32"/>
        <v>-467143</v>
      </c>
      <c r="N305" s="1">
        <f t="shared" si="33"/>
        <v>-652516</v>
      </c>
      <c r="O305" s="4">
        <f t="shared" si="29"/>
        <v>-1.3968228144272739</v>
      </c>
      <c r="P305" s="4">
        <f t="shared" si="30"/>
        <v>-194.11764705882354</v>
      </c>
      <c r="Q305" s="4">
        <f t="shared" si="31"/>
        <v>3.4116962043742498E-3</v>
      </c>
    </row>
    <row r="306" spans="1:17">
      <c r="A306" s="1" t="s">
        <v>328</v>
      </c>
      <c r="B306" s="1" t="s">
        <v>26</v>
      </c>
      <c r="C306" s="1" t="s">
        <v>15</v>
      </c>
      <c r="D306" s="1" t="s">
        <v>392</v>
      </c>
      <c r="E306" s="1">
        <v>41181</v>
      </c>
      <c r="F306" s="1">
        <v>289998</v>
      </c>
      <c r="G306" s="1">
        <f t="shared" si="28"/>
        <v>331179</v>
      </c>
      <c r="H306" s="1">
        <v>13958</v>
      </c>
      <c r="I306" s="1">
        <v>10</v>
      </c>
      <c r="J306" s="1">
        <v>132</v>
      </c>
      <c r="K306" s="1">
        <f t="shared" si="34"/>
        <v>1842456</v>
      </c>
      <c r="L306" s="1">
        <v>32</v>
      </c>
      <c r="M306" s="1">
        <f t="shared" si="32"/>
        <v>1395800</v>
      </c>
      <c r="N306" s="1">
        <f t="shared" si="33"/>
        <v>1064621</v>
      </c>
      <c r="O306" s="4">
        <f t="shared" si="29"/>
        <v>0.76273176672875775</v>
      </c>
      <c r="P306" s="4">
        <f t="shared" si="30"/>
        <v>32</v>
      </c>
      <c r="Q306" s="4">
        <f t="shared" si="31"/>
        <v>5.4275380253314051E-4</v>
      </c>
    </row>
    <row r="307" spans="1:17">
      <c r="A307" s="1" t="s">
        <v>329</v>
      </c>
      <c r="B307" s="1" t="s">
        <v>14</v>
      </c>
      <c r="C307" s="1" t="s">
        <v>18</v>
      </c>
      <c r="D307" s="1" t="s">
        <v>391</v>
      </c>
      <c r="E307" s="1">
        <v>22616</v>
      </c>
      <c r="F307" s="1">
        <v>138404</v>
      </c>
      <c r="G307" s="1">
        <f t="shared" si="28"/>
        <v>161020</v>
      </c>
      <c r="H307" s="1">
        <v>27686</v>
      </c>
      <c r="I307" s="1">
        <v>5</v>
      </c>
      <c r="J307" s="1">
        <v>109</v>
      </c>
      <c r="K307" s="1">
        <f t="shared" si="34"/>
        <v>3017774</v>
      </c>
      <c r="L307" s="1">
        <v>21</v>
      </c>
      <c r="M307" s="1">
        <f t="shared" si="32"/>
        <v>2436368</v>
      </c>
      <c r="N307" s="1">
        <f t="shared" si="33"/>
        <v>2275348</v>
      </c>
      <c r="O307" s="4">
        <f t="shared" si="29"/>
        <v>0.93390981986300925</v>
      </c>
      <c r="P307" s="4">
        <f t="shared" si="30"/>
        <v>23.863636363636363</v>
      </c>
      <c r="Q307" s="4">
        <f t="shared" si="31"/>
        <v>1.6568503804459845E-4</v>
      </c>
    </row>
    <row r="308" spans="1:17">
      <c r="A308" s="1" t="s">
        <v>330</v>
      </c>
      <c r="B308" s="1" t="s">
        <v>26</v>
      </c>
      <c r="C308" s="1" t="s">
        <v>18</v>
      </c>
      <c r="D308" s="1" t="s">
        <v>391</v>
      </c>
      <c r="E308" s="1">
        <v>25866</v>
      </c>
      <c r="F308" s="1">
        <v>83139</v>
      </c>
      <c r="G308" s="1">
        <f t="shared" si="28"/>
        <v>109005</v>
      </c>
      <c r="H308" s="1">
        <v>59239</v>
      </c>
      <c r="I308" s="1">
        <v>5</v>
      </c>
      <c r="J308" s="1">
        <v>128</v>
      </c>
      <c r="K308" s="1">
        <f t="shared" si="34"/>
        <v>7582592</v>
      </c>
      <c r="L308" s="1">
        <v>19</v>
      </c>
      <c r="M308" s="1">
        <f t="shared" si="32"/>
        <v>6457051</v>
      </c>
      <c r="N308" s="1">
        <f t="shared" si="33"/>
        <v>6348046</v>
      </c>
      <c r="O308" s="4">
        <f t="shared" si="29"/>
        <v>0.98311845453907676</v>
      </c>
      <c r="P308" s="4">
        <f t="shared" si="30"/>
        <v>17.431192660550458</v>
      </c>
      <c r="Q308" s="4">
        <f t="shared" si="31"/>
        <v>6.5940512162595587E-5</v>
      </c>
    </row>
    <row r="309" spans="1:17">
      <c r="A309" s="1" t="s">
        <v>331</v>
      </c>
      <c r="B309" s="1" t="s">
        <v>26</v>
      </c>
      <c r="C309" s="1" t="s">
        <v>18</v>
      </c>
      <c r="D309" s="1" t="s">
        <v>391</v>
      </c>
      <c r="E309" s="1">
        <v>17950</v>
      </c>
      <c r="F309" s="1">
        <v>297292</v>
      </c>
      <c r="G309" s="1">
        <f t="shared" si="28"/>
        <v>315242</v>
      </c>
      <c r="H309" s="1">
        <v>17708</v>
      </c>
      <c r="I309" s="1">
        <v>5</v>
      </c>
      <c r="J309" s="1">
        <v>118</v>
      </c>
      <c r="K309" s="1">
        <f t="shared" si="34"/>
        <v>2089544</v>
      </c>
      <c r="L309" s="1">
        <v>17</v>
      </c>
      <c r="M309" s="1">
        <f t="shared" si="32"/>
        <v>1788508</v>
      </c>
      <c r="N309" s="1">
        <f t="shared" si="33"/>
        <v>1473266</v>
      </c>
      <c r="O309" s="4">
        <f t="shared" si="29"/>
        <v>0.82374023487733905</v>
      </c>
      <c r="P309" s="4">
        <f t="shared" si="30"/>
        <v>16.831683168316832</v>
      </c>
      <c r="Q309" s="4">
        <f t="shared" si="31"/>
        <v>2.39286657758822E-4</v>
      </c>
    </row>
    <row r="310" spans="1:17">
      <c r="A310" s="1" t="s">
        <v>332</v>
      </c>
      <c r="B310" s="1" t="s">
        <v>17</v>
      </c>
      <c r="C310" s="1" t="s">
        <v>21</v>
      </c>
      <c r="D310" s="1" t="s">
        <v>391</v>
      </c>
      <c r="E310" s="1">
        <v>18276</v>
      </c>
      <c r="F310" s="1">
        <v>343445</v>
      </c>
      <c r="G310" s="1">
        <f t="shared" si="28"/>
        <v>361721</v>
      </c>
      <c r="H310" s="1">
        <v>28121</v>
      </c>
      <c r="I310" s="1">
        <v>0</v>
      </c>
      <c r="J310" s="1">
        <v>99</v>
      </c>
      <c r="K310" s="1">
        <f t="shared" si="34"/>
        <v>2783979</v>
      </c>
      <c r="L310" s="1">
        <v>27</v>
      </c>
      <c r="M310" s="1">
        <f t="shared" si="32"/>
        <v>2024712</v>
      </c>
      <c r="N310" s="1">
        <f t="shared" si="33"/>
        <v>1662991</v>
      </c>
      <c r="O310" s="4">
        <f t="shared" si="29"/>
        <v>0.82134693724342034</v>
      </c>
      <c r="P310" s="4">
        <f t="shared" si="30"/>
        <v>37.5</v>
      </c>
      <c r="Q310" s="4">
        <f t="shared" si="31"/>
        <v>0</v>
      </c>
    </row>
    <row r="311" spans="1:17">
      <c r="A311" s="1" t="s">
        <v>333</v>
      </c>
      <c r="B311" s="1" t="s">
        <v>26</v>
      </c>
      <c r="C311" s="1" t="s">
        <v>29</v>
      </c>
      <c r="D311" s="1" t="s">
        <v>392</v>
      </c>
      <c r="E311" s="1">
        <v>36963</v>
      </c>
      <c r="F311" s="1">
        <v>380957</v>
      </c>
      <c r="G311" s="1">
        <f t="shared" si="28"/>
        <v>417920</v>
      </c>
      <c r="H311" s="1">
        <v>26898</v>
      </c>
      <c r="I311" s="1">
        <v>0</v>
      </c>
      <c r="J311" s="1">
        <v>136</v>
      </c>
      <c r="K311" s="1">
        <f t="shared" si="34"/>
        <v>3658128</v>
      </c>
      <c r="L311" s="1">
        <v>28</v>
      </c>
      <c r="M311" s="1">
        <f t="shared" si="32"/>
        <v>2904984</v>
      </c>
      <c r="N311" s="1">
        <f t="shared" si="33"/>
        <v>2487064</v>
      </c>
      <c r="O311" s="4">
        <f t="shared" si="29"/>
        <v>0.85613690127036846</v>
      </c>
      <c r="P311" s="4">
        <f t="shared" si="30"/>
        <v>25.925925925925924</v>
      </c>
      <c r="Q311" s="4">
        <f t="shared" si="31"/>
        <v>0</v>
      </c>
    </row>
    <row r="312" spans="1:17">
      <c r="A312" s="1" t="s">
        <v>334</v>
      </c>
      <c r="B312" s="1" t="s">
        <v>14</v>
      </c>
      <c r="C312" s="1" t="s">
        <v>29</v>
      </c>
      <c r="D312" s="1" t="s">
        <v>392</v>
      </c>
      <c r="E312" s="1">
        <v>30512</v>
      </c>
      <c r="F312" s="1">
        <v>69802</v>
      </c>
      <c r="G312" s="1">
        <f t="shared" si="28"/>
        <v>100314</v>
      </c>
      <c r="H312" s="1">
        <v>40057</v>
      </c>
      <c r="I312" s="1">
        <v>0</v>
      </c>
      <c r="J312" s="1">
        <v>18</v>
      </c>
      <c r="K312" s="1">
        <f t="shared" si="34"/>
        <v>721026</v>
      </c>
      <c r="L312" s="1">
        <v>5</v>
      </c>
      <c r="M312" s="1">
        <f t="shared" si="32"/>
        <v>520741</v>
      </c>
      <c r="N312" s="1">
        <f t="shared" si="33"/>
        <v>420427</v>
      </c>
      <c r="O312" s="4">
        <f t="shared" si="29"/>
        <v>0.80736296930719875</v>
      </c>
      <c r="P312" s="4">
        <f t="shared" si="30"/>
        <v>38.461538461538467</v>
      </c>
      <c r="Q312" s="4">
        <f t="shared" si="31"/>
        <v>0</v>
      </c>
    </row>
    <row r="313" spans="1:17">
      <c r="A313" s="1" t="s">
        <v>335</v>
      </c>
      <c r="B313" s="1" t="s">
        <v>20</v>
      </c>
      <c r="C313" s="1" t="s">
        <v>29</v>
      </c>
      <c r="D313" s="1" t="s">
        <v>391</v>
      </c>
      <c r="E313" s="1">
        <v>12326</v>
      </c>
      <c r="F313" s="1">
        <v>152074</v>
      </c>
      <c r="G313" s="1">
        <f t="shared" si="28"/>
        <v>164400</v>
      </c>
      <c r="H313" s="1">
        <v>48281</v>
      </c>
      <c r="I313" s="1">
        <v>5</v>
      </c>
      <c r="J313" s="1">
        <v>104</v>
      </c>
      <c r="K313" s="1">
        <f t="shared" si="34"/>
        <v>5021224</v>
      </c>
      <c r="L313" s="1">
        <v>15</v>
      </c>
      <c r="M313" s="1">
        <f t="shared" si="32"/>
        <v>4297009</v>
      </c>
      <c r="N313" s="1">
        <f t="shared" si="33"/>
        <v>4132609</v>
      </c>
      <c r="O313" s="4">
        <f t="shared" si="29"/>
        <v>0.96174082949325912</v>
      </c>
      <c r="P313" s="4">
        <f t="shared" si="30"/>
        <v>16.853932584269664</v>
      </c>
      <c r="Q313" s="4">
        <f t="shared" si="31"/>
        <v>9.9577314216613326E-5</v>
      </c>
    </row>
    <row r="314" spans="1:17">
      <c r="A314" s="1" t="s">
        <v>336</v>
      </c>
      <c r="B314" s="1" t="s">
        <v>26</v>
      </c>
      <c r="C314" s="1" t="s">
        <v>21</v>
      </c>
      <c r="D314" s="1" t="s">
        <v>391</v>
      </c>
      <c r="E314" s="1">
        <v>18600</v>
      </c>
      <c r="F314" s="1">
        <v>261932</v>
      </c>
      <c r="G314" s="1">
        <f t="shared" si="28"/>
        <v>280532</v>
      </c>
      <c r="H314" s="1">
        <v>77693</v>
      </c>
      <c r="I314" s="1">
        <v>0</v>
      </c>
      <c r="J314" s="1">
        <v>58</v>
      </c>
      <c r="K314" s="1">
        <f t="shared" si="34"/>
        <v>4506194</v>
      </c>
      <c r="L314" s="1">
        <v>2</v>
      </c>
      <c r="M314" s="1">
        <f t="shared" si="32"/>
        <v>4350808</v>
      </c>
      <c r="N314" s="1">
        <f t="shared" si="33"/>
        <v>4070276</v>
      </c>
      <c r="O314" s="4">
        <f t="shared" si="29"/>
        <v>0.93552186168638096</v>
      </c>
      <c r="P314" s="4">
        <f t="shared" si="30"/>
        <v>3.5714285714285712</v>
      </c>
      <c r="Q314" s="4">
        <f t="shared" si="31"/>
        <v>0</v>
      </c>
    </row>
    <row r="315" spans="1:17">
      <c r="A315" s="1" t="s">
        <v>337</v>
      </c>
      <c r="B315" s="1" t="s">
        <v>17</v>
      </c>
      <c r="C315" s="1" t="s">
        <v>29</v>
      </c>
      <c r="D315" s="1" t="s">
        <v>391</v>
      </c>
      <c r="E315" s="1">
        <v>31002</v>
      </c>
      <c r="F315" s="1">
        <v>105451</v>
      </c>
      <c r="G315" s="1">
        <f t="shared" si="28"/>
        <v>136453</v>
      </c>
      <c r="H315" s="1">
        <v>67751</v>
      </c>
      <c r="I315" s="1">
        <v>20</v>
      </c>
      <c r="J315" s="1">
        <v>72</v>
      </c>
      <c r="K315" s="1">
        <f t="shared" si="34"/>
        <v>4878072</v>
      </c>
      <c r="L315" s="1">
        <v>32</v>
      </c>
      <c r="M315" s="1">
        <f t="shared" si="32"/>
        <v>2710040</v>
      </c>
      <c r="N315" s="1">
        <f t="shared" si="33"/>
        <v>2573587</v>
      </c>
      <c r="O315" s="4">
        <f t="shared" si="29"/>
        <v>0.94964908267036652</v>
      </c>
      <c r="P315" s="4">
        <f t="shared" si="30"/>
        <v>80</v>
      </c>
      <c r="Q315" s="4">
        <f t="shared" si="31"/>
        <v>4.0999804840928956E-4</v>
      </c>
    </row>
    <row r="316" spans="1:17">
      <c r="A316" s="1" t="s">
        <v>338</v>
      </c>
      <c r="B316" s="1" t="s">
        <v>14</v>
      </c>
      <c r="C316" s="1" t="s">
        <v>18</v>
      </c>
      <c r="D316" s="1" t="s">
        <v>392</v>
      </c>
      <c r="E316" s="1">
        <v>45485</v>
      </c>
      <c r="F316" s="1">
        <v>260657</v>
      </c>
      <c r="G316" s="1">
        <f t="shared" si="28"/>
        <v>306142</v>
      </c>
      <c r="H316" s="1">
        <v>13180</v>
      </c>
      <c r="I316" s="1">
        <v>1</v>
      </c>
      <c r="J316" s="1">
        <v>99</v>
      </c>
      <c r="K316" s="1">
        <f t="shared" si="34"/>
        <v>1304820</v>
      </c>
      <c r="L316" s="1">
        <v>8</v>
      </c>
      <c r="M316" s="1">
        <f t="shared" si="32"/>
        <v>1199380</v>
      </c>
      <c r="N316" s="1">
        <f t="shared" si="33"/>
        <v>893238</v>
      </c>
      <c r="O316" s="4">
        <f t="shared" si="29"/>
        <v>0.74474978739015163</v>
      </c>
      <c r="P316" s="4">
        <f t="shared" si="30"/>
        <v>8.791208791208792</v>
      </c>
      <c r="Q316" s="4">
        <f t="shared" si="31"/>
        <v>7.6638923376404398E-5</v>
      </c>
    </row>
    <row r="317" spans="1:17">
      <c r="A317" s="1" t="s">
        <v>339</v>
      </c>
      <c r="B317" s="1" t="s">
        <v>20</v>
      </c>
      <c r="C317" s="1" t="s">
        <v>122</v>
      </c>
      <c r="D317" s="1" t="s">
        <v>391</v>
      </c>
      <c r="E317" s="1">
        <v>35119</v>
      </c>
      <c r="F317" s="1">
        <v>190305</v>
      </c>
      <c r="G317" s="1">
        <f t="shared" si="28"/>
        <v>225424</v>
      </c>
      <c r="H317" s="1">
        <v>49601</v>
      </c>
      <c r="I317" s="1">
        <v>10</v>
      </c>
      <c r="J317" s="1">
        <v>5</v>
      </c>
      <c r="K317" s="1">
        <f t="shared" si="34"/>
        <v>248005</v>
      </c>
      <c r="L317" s="1">
        <v>13</v>
      </c>
      <c r="M317" s="1">
        <f t="shared" si="32"/>
        <v>-396808</v>
      </c>
      <c r="N317" s="1">
        <f t="shared" si="33"/>
        <v>-622232</v>
      </c>
      <c r="O317" s="4">
        <f t="shared" si="29"/>
        <v>-1.5680933852140078</v>
      </c>
      <c r="P317" s="4">
        <f t="shared" si="30"/>
        <v>-162.5</v>
      </c>
      <c r="Q317" s="4">
        <f t="shared" si="31"/>
        <v>4.0321767706296245E-3</v>
      </c>
    </row>
    <row r="318" spans="1:17">
      <c r="A318" s="1" t="s">
        <v>340</v>
      </c>
      <c r="B318" s="1" t="s">
        <v>26</v>
      </c>
      <c r="C318" s="1" t="s">
        <v>15</v>
      </c>
      <c r="D318" s="1" t="s">
        <v>391</v>
      </c>
      <c r="E318" s="1">
        <v>25624</v>
      </c>
      <c r="F318" s="1">
        <v>250100</v>
      </c>
      <c r="G318" s="1">
        <f t="shared" si="28"/>
        <v>275724</v>
      </c>
      <c r="H318" s="1">
        <v>17513</v>
      </c>
      <c r="I318" s="1">
        <v>0</v>
      </c>
      <c r="J318" s="1">
        <v>24</v>
      </c>
      <c r="K318" s="1">
        <f t="shared" si="34"/>
        <v>420312</v>
      </c>
      <c r="L318" s="1">
        <v>7</v>
      </c>
      <c r="M318" s="1">
        <f t="shared" si="32"/>
        <v>297721</v>
      </c>
      <c r="N318" s="1">
        <f t="shared" si="33"/>
        <v>21997</v>
      </c>
      <c r="O318" s="4">
        <f t="shared" si="29"/>
        <v>7.3884610087968261E-2</v>
      </c>
      <c r="P318" s="4">
        <f t="shared" si="30"/>
        <v>41.17647058823529</v>
      </c>
      <c r="Q318" s="4">
        <f t="shared" si="31"/>
        <v>0</v>
      </c>
    </row>
    <row r="319" spans="1:17">
      <c r="A319" s="1" t="s">
        <v>341</v>
      </c>
      <c r="B319" s="1" t="s">
        <v>17</v>
      </c>
      <c r="C319" s="1" t="s">
        <v>18</v>
      </c>
      <c r="D319" s="1" t="s">
        <v>392</v>
      </c>
      <c r="E319" s="1">
        <v>27927</v>
      </c>
      <c r="F319" s="1">
        <v>259536</v>
      </c>
      <c r="G319" s="1">
        <f t="shared" si="28"/>
        <v>287463</v>
      </c>
      <c r="H319" s="1">
        <v>29305</v>
      </c>
      <c r="I319" s="1">
        <v>20</v>
      </c>
      <c r="J319" s="1">
        <v>121</v>
      </c>
      <c r="K319" s="1">
        <f t="shared" si="34"/>
        <v>3545905</v>
      </c>
      <c r="L319" s="1">
        <v>17</v>
      </c>
      <c r="M319" s="1">
        <f t="shared" si="32"/>
        <v>3047720</v>
      </c>
      <c r="N319" s="1">
        <f t="shared" si="33"/>
        <v>2760257</v>
      </c>
      <c r="O319" s="4">
        <f t="shared" si="29"/>
        <v>0.90567932749727664</v>
      </c>
      <c r="P319" s="4">
        <f t="shared" si="30"/>
        <v>16.346153846153847</v>
      </c>
      <c r="Q319" s="4">
        <f t="shared" si="31"/>
        <v>5.6403090325318924E-4</v>
      </c>
    </row>
    <row r="320" spans="1:17">
      <c r="A320" s="1" t="s">
        <v>342</v>
      </c>
      <c r="B320" s="1" t="s">
        <v>26</v>
      </c>
      <c r="C320" s="1" t="s">
        <v>15</v>
      </c>
      <c r="D320" s="1" t="s">
        <v>392</v>
      </c>
      <c r="E320" s="1">
        <v>49784</v>
      </c>
      <c r="F320" s="1">
        <v>278884</v>
      </c>
      <c r="G320" s="1">
        <f t="shared" si="28"/>
        <v>328668</v>
      </c>
      <c r="H320" s="1">
        <v>46801</v>
      </c>
      <c r="I320" s="1">
        <v>0</v>
      </c>
      <c r="J320" s="1">
        <v>101</v>
      </c>
      <c r="K320" s="1">
        <f t="shared" si="34"/>
        <v>4726901</v>
      </c>
      <c r="L320" s="1">
        <v>15</v>
      </c>
      <c r="M320" s="1">
        <f t="shared" si="32"/>
        <v>4024886</v>
      </c>
      <c r="N320" s="1">
        <f t="shared" si="33"/>
        <v>3696218</v>
      </c>
      <c r="O320" s="4">
        <f t="shared" si="29"/>
        <v>0.91834104121209892</v>
      </c>
      <c r="P320" s="4">
        <f t="shared" si="30"/>
        <v>17.441860465116278</v>
      </c>
      <c r="Q320" s="4">
        <f t="shared" si="31"/>
        <v>0</v>
      </c>
    </row>
    <row r="321" spans="1:17">
      <c r="A321" s="1" t="s">
        <v>343</v>
      </c>
      <c r="B321" s="1" t="s">
        <v>26</v>
      </c>
      <c r="C321" s="1" t="s">
        <v>21</v>
      </c>
      <c r="D321" s="1" t="s">
        <v>391</v>
      </c>
      <c r="E321" s="1">
        <v>21531</v>
      </c>
      <c r="F321" s="1">
        <v>188507</v>
      </c>
      <c r="G321" s="1">
        <f t="shared" si="28"/>
        <v>210038</v>
      </c>
      <c r="H321" s="1">
        <v>78333</v>
      </c>
      <c r="I321" s="1">
        <v>0</v>
      </c>
      <c r="J321" s="1">
        <v>104</v>
      </c>
      <c r="K321" s="1">
        <f t="shared" si="34"/>
        <v>8146632</v>
      </c>
      <c r="L321" s="1">
        <v>11</v>
      </c>
      <c r="M321" s="1">
        <f t="shared" si="32"/>
        <v>7284969</v>
      </c>
      <c r="N321" s="1">
        <f t="shared" si="33"/>
        <v>7074931</v>
      </c>
      <c r="O321" s="4">
        <f t="shared" si="29"/>
        <v>0.97116830558922074</v>
      </c>
      <c r="P321" s="4">
        <f t="shared" si="30"/>
        <v>11.827956989247312</v>
      </c>
      <c r="Q321" s="4">
        <f t="shared" si="31"/>
        <v>0</v>
      </c>
    </row>
    <row r="322" spans="1:17">
      <c r="A322" s="1" t="s">
        <v>344</v>
      </c>
      <c r="B322" s="1" t="s">
        <v>20</v>
      </c>
      <c r="C322" s="1" t="s">
        <v>18</v>
      </c>
      <c r="D322" s="1" t="s">
        <v>392</v>
      </c>
      <c r="E322" s="1">
        <v>14983</v>
      </c>
      <c r="F322" s="1">
        <v>59946</v>
      </c>
      <c r="G322" s="1">
        <f t="shared" si="28"/>
        <v>74929</v>
      </c>
      <c r="H322" s="1">
        <v>83115</v>
      </c>
      <c r="I322" s="1">
        <v>10</v>
      </c>
      <c r="J322" s="1">
        <v>106</v>
      </c>
      <c r="K322" s="1">
        <f t="shared" si="34"/>
        <v>8810190</v>
      </c>
      <c r="L322" s="1">
        <v>2</v>
      </c>
      <c r="M322" s="1">
        <f t="shared" si="32"/>
        <v>8643960</v>
      </c>
      <c r="N322" s="1">
        <f t="shared" si="33"/>
        <v>8569031</v>
      </c>
      <c r="O322" s="4">
        <f t="shared" si="29"/>
        <v>0.99133163503764476</v>
      </c>
      <c r="P322" s="4">
        <f t="shared" si="30"/>
        <v>1.9230769230769231</v>
      </c>
      <c r="Q322" s="4">
        <f t="shared" si="31"/>
        <v>1.135049300866383E-4</v>
      </c>
    </row>
    <row r="323" spans="1:17">
      <c r="A323" s="1" t="s">
        <v>345</v>
      </c>
      <c r="B323" s="1" t="s">
        <v>26</v>
      </c>
      <c r="C323" s="1" t="s">
        <v>15</v>
      </c>
      <c r="D323" s="1" t="s">
        <v>391</v>
      </c>
      <c r="E323" s="1">
        <v>9683</v>
      </c>
      <c r="F323" s="1">
        <v>295176</v>
      </c>
      <c r="G323" s="1">
        <f t="shared" ref="G323:G386" si="35">E323+F323</f>
        <v>304859</v>
      </c>
      <c r="H323" s="1">
        <v>15166</v>
      </c>
      <c r="I323" s="1">
        <v>0</v>
      </c>
      <c r="J323" s="1">
        <v>28</v>
      </c>
      <c r="K323" s="1">
        <f t="shared" si="34"/>
        <v>424648</v>
      </c>
      <c r="L323" s="1">
        <v>29</v>
      </c>
      <c r="M323" s="1">
        <f t="shared" si="32"/>
        <v>-15166</v>
      </c>
      <c r="N323" s="1">
        <f t="shared" si="33"/>
        <v>-320025</v>
      </c>
      <c r="O323" s="4">
        <f t="shared" ref="O323:O386" si="36">SUM(N323/ABS(M323))</f>
        <v>-21.101476987999472</v>
      </c>
      <c r="P323" s="4">
        <f t="shared" ref="P323:P386" si="37">SUM(H323*L323)/M323*100</f>
        <v>-2900</v>
      </c>
      <c r="Q323" s="4">
        <f t="shared" ref="Q323:Q386" si="38">I323/K323*100</f>
        <v>0</v>
      </c>
    </row>
    <row r="324" spans="1:17">
      <c r="A324" s="1" t="s">
        <v>346</v>
      </c>
      <c r="B324" s="1" t="s">
        <v>26</v>
      </c>
      <c r="C324" s="1" t="s">
        <v>74</v>
      </c>
      <c r="D324" s="1" t="s">
        <v>392</v>
      </c>
      <c r="E324" s="1">
        <v>37091</v>
      </c>
      <c r="F324" s="1">
        <v>279323</v>
      </c>
      <c r="G324" s="1">
        <f t="shared" si="35"/>
        <v>316414</v>
      </c>
      <c r="H324" s="1">
        <v>36234</v>
      </c>
      <c r="I324" s="1">
        <v>0</v>
      </c>
      <c r="J324" s="1">
        <v>101</v>
      </c>
      <c r="K324" s="1">
        <f t="shared" si="34"/>
        <v>3659634</v>
      </c>
      <c r="L324" s="1">
        <v>32</v>
      </c>
      <c r="M324" s="1">
        <f t="shared" ref="M324:M387" si="39">K324-H324*L324</f>
        <v>2500146</v>
      </c>
      <c r="N324" s="1">
        <f t="shared" ref="N324:N387" si="40">M324-G324</f>
        <v>2183732</v>
      </c>
      <c r="O324" s="4">
        <f t="shared" si="36"/>
        <v>0.87344179099940567</v>
      </c>
      <c r="P324" s="4">
        <f t="shared" si="37"/>
        <v>46.376811594202898</v>
      </c>
      <c r="Q324" s="4">
        <f t="shared" si="38"/>
        <v>0</v>
      </c>
    </row>
    <row r="325" spans="1:17">
      <c r="A325" s="1" t="s">
        <v>347</v>
      </c>
      <c r="B325" s="1" t="s">
        <v>14</v>
      </c>
      <c r="C325" s="1" t="s">
        <v>15</v>
      </c>
      <c r="D325" s="1" t="s">
        <v>391</v>
      </c>
      <c r="E325" s="1">
        <v>47702</v>
      </c>
      <c r="F325" s="1">
        <v>241733</v>
      </c>
      <c r="G325" s="1">
        <f t="shared" si="35"/>
        <v>289435</v>
      </c>
      <c r="H325" s="1">
        <v>61877</v>
      </c>
      <c r="I325" s="1">
        <v>20</v>
      </c>
      <c r="J325" s="1">
        <v>65</v>
      </c>
      <c r="K325" s="1">
        <f t="shared" ref="K325:K388" si="41">H325*J325</f>
        <v>4022005</v>
      </c>
      <c r="L325" s="1">
        <v>10</v>
      </c>
      <c r="M325" s="1">
        <f t="shared" si="39"/>
        <v>3403235</v>
      </c>
      <c r="N325" s="1">
        <f t="shared" si="40"/>
        <v>3113800</v>
      </c>
      <c r="O325" s="4">
        <f t="shared" si="36"/>
        <v>0.9149529785630437</v>
      </c>
      <c r="P325" s="4">
        <f t="shared" si="37"/>
        <v>18.181818181818183</v>
      </c>
      <c r="Q325" s="4">
        <f t="shared" si="38"/>
        <v>4.9726442408699152E-4</v>
      </c>
    </row>
    <row r="326" spans="1:17">
      <c r="A326" s="1" t="s">
        <v>348</v>
      </c>
      <c r="B326" s="1" t="s">
        <v>26</v>
      </c>
      <c r="C326" s="1" t="s">
        <v>18</v>
      </c>
      <c r="D326" s="1" t="s">
        <v>391</v>
      </c>
      <c r="E326" s="1">
        <v>42899</v>
      </c>
      <c r="F326" s="1">
        <v>57885</v>
      </c>
      <c r="G326" s="1">
        <f t="shared" si="35"/>
        <v>100784</v>
      </c>
      <c r="H326" s="1">
        <v>76084</v>
      </c>
      <c r="I326" s="1">
        <v>15</v>
      </c>
      <c r="J326" s="1">
        <v>114</v>
      </c>
      <c r="K326" s="1">
        <f t="shared" si="41"/>
        <v>8673576</v>
      </c>
      <c r="L326" s="1">
        <v>10</v>
      </c>
      <c r="M326" s="1">
        <f t="shared" si="39"/>
        <v>7912736</v>
      </c>
      <c r="N326" s="1">
        <f t="shared" si="40"/>
        <v>7811952</v>
      </c>
      <c r="O326" s="4">
        <f t="shared" si="36"/>
        <v>0.98726306551867771</v>
      </c>
      <c r="P326" s="4">
        <f t="shared" si="37"/>
        <v>9.6153846153846168</v>
      </c>
      <c r="Q326" s="4">
        <f t="shared" si="38"/>
        <v>1.7293905074446803E-4</v>
      </c>
    </row>
    <row r="327" spans="1:17">
      <c r="A327" s="1" t="s">
        <v>349</v>
      </c>
      <c r="B327" s="1" t="s">
        <v>26</v>
      </c>
      <c r="C327" s="1" t="s">
        <v>18</v>
      </c>
      <c r="D327" s="1" t="s">
        <v>393</v>
      </c>
      <c r="E327" s="1">
        <v>39834</v>
      </c>
      <c r="F327" s="1">
        <v>274806</v>
      </c>
      <c r="G327" s="1">
        <f t="shared" si="35"/>
        <v>314640</v>
      </c>
      <c r="H327" s="1">
        <v>72089</v>
      </c>
      <c r="I327" s="1">
        <v>15</v>
      </c>
      <c r="J327" s="1">
        <v>11</v>
      </c>
      <c r="K327" s="1">
        <f t="shared" si="41"/>
        <v>792979</v>
      </c>
      <c r="L327" s="1">
        <v>23</v>
      </c>
      <c r="M327" s="1">
        <f t="shared" si="39"/>
        <v>-865068</v>
      </c>
      <c r="N327" s="1">
        <f t="shared" si="40"/>
        <v>-1179708</v>
      </c>
      <c r="O327" s="4">
        <f t="shared" si="36"/>
        <v>-1.3637170719527252</v>
      </c>
      <c r="P327" s="4">
        <f t="shared" si="37"/>
        <v>-191.66666666666669</v>
      </c>
      <c r="Q327" s="4">
        <f t="shared" si="38"/>
        <v>1.8916011647218906E-3</v>
      </c>
    </row>
    <row r="328" spans="1:17">
      <c r="A328" s="1" t="s">
        <v>350</v>
      </c>
      <c r="B328" s="1" t="s">
        <v>17</v>
      </c>
      <c r="C328" s="1" t="s">
        <v>18</v>
      </c>
      <c r="D328" s="1" t="s">
        <v>391</v>
      </c>
      <c r="E328" s="1">
        <v>17748</v>
      </c>
      <c r="F328" s="1">
        <v>241230</v>
      </c>
      <c r="G328" s="1">
        <f t="shared" si="35"/>
        <v>258978</v>
      </c>
      <c r="H328" s="1">
        <v>51534</v>
      </c>
      <c r="I328" s="1">
        <v>5</v>
      </c>
      <c r="J328" s="1">
        <v>33</v>
      </c>
      <c r="K328" s="1">
        <f t="shared" si="41"/>
        <v>1700622</v>
      </c>
      <c r="L328" s="1">
        <v>19</v>
      </c>
      <c r="M328" s="1">
        <f t="shared" si="39"/>
        <v>721476</v>
      </c>
      <c r="N328" s="1">
        <f t="shared" si="40"/>
        <v>462498</v>
      </c>
      <c r="O328" s="4">
        <f t="shared" si="36"/>
        <v>0.64104419273822</v>
      </c>
      <c r="P328" s="4">
        <f t="shared" si="37"/>
        <v>135.71428571428572</v>
      </c>
      <c r="Q328" s="4">
        <f t="shared" si="38"/>
        <v>2.9401007396117419E-4</v>
      </c>
    </row>
    <row r="329" spans="1:17">
      <c r="A329" s="1" t="s">
        <v>351</v>
      </c>
      <c r="B329" s="1" t="s">
        <v>17</v>
      </c>
      <c r="C329" s="1" t="s">
        <v>29</v>
      </c>
      <c r="D329" s="1" t="s">
        <v>391</v>
      </c>
      <c r="E329" s="1">
        <v>44585</v>
      </c>
      <c r="F329" s="1">
        <v>123974</v>
      </c>
      <c r="G329" s="1">
        <f t="shared" si="35"/>
        <v>168559</v>
      </c>
      <c r="H329" s="1">
        <v>42995</v>
      </c>
      <c r="I329" s="1">
        <v>5</v>
      </c>
      <c r="J329" s="1">
        <v>13</v>
      </c>
      <c r="K329" s="1">
        <f t="shared" si="41"/>
        <v>558935</v>
      </c>
      <c r="L329" s="1">
        <v>29</v>
      </c>
      <c r="M329" s="1">
        <f t="shared" si="39"/>
        <v>-687920</v>
      </c>
      <c r="N329" s="1">
        <f t="shared" si="40"/>
        <v>-856479</v>
      </c>
      <c r="O329" s="4">
        <f t="shared" si="36"/>
        <v>-1.2450270380276776</v>
      </c>
      <c r="P329" s="4">
        <f t="shared" si="37"/>
        <v>-181.25</v>
      </c>
      <c r="Q329" s="4">
        <f t="shared" si="38"/>
        <v>8.9455840124522525E-4</v>
      </c>
    </row>
    <row r="330" spans="1:17">
      <c r="A330" s="1" t="s">
        <v>352</v>
      </c>
      <c r="B330" s="1" t="s">
        <v>14</v>
      </c>
      <c r="C330" s="1" t="s">
        <v>29</v>
      </c>
      <c r="D330" s="1" t="s">
        <v>391</v>
      </c>
      <c r="E330" s="1">
        <v>26340</v>
      </c>
      <c r="F330" s="1">
        <v>58302</v>
      </c>
      <c r="G330" s="1">
        <f t="shared" si="35"/>
        <v>84642</v>
      </c>
      <c r="H330" s="1">
        <v>57017</v>
      </c>
      <c r="I330" s="1">
        <v>15</v>
      </c>
      <c r="J330" s="1">
        <v>20</v>
      </c>
      <c r="K330" s="1">
        <f t="shared" si="41"/>
        <v>1140340</v>
      </c>
      <c r="L330" s="1">
        <v>34</v>
      </c>
      <c r="M330" s="1">
        <f t="shared" si="39"/>
        <v>-798238</v>
      </c>
      <c r="N330" s="1">
        <f t="shared" si="40"/>
        <v>-882880</v>
      </c>
      <c r="O330" s="4">
        <f t="shared" si="36"/>
        <v>-1.1060360443877642</v>
      </c>
      <c r="P330" s="4">
        <f t="shared" si="37"/>
        <v>-242.85714285714283</v>
      </c>
      <c r="Q330" s="4">
        <f t="shared" si="38"/>
        <v>1.3153971622498553E-3</v>
      </c>
    </row>
    <row r="331" spans="1:17">
      <c r="A331" s="1" t="s">
        <v>353</v>
      </c>
      <c r="B331" s="1" t="s">
        <v>14</v>
      </c>
      <c r="C331" s="1" t="s">
        <v>18</v>
      </c>
      <c r="D331" s="1" t="s">
        <v>392</v>
      </c>
      <c r="E331" s="1">
        <v>7274</v>
      </c>
      <c r="F331" s="1">
        <v>77237</v>
      </c>
      <c r="G331" s="1">
        <f t="shared" si="35"/>
        <v>84511</v>
      </c>
      <c r="H331" s="1">
        <v>55730</v>
      </c>
      <c r="I331" s="1">
        <v>10</v>
      </c>
      <c r="J331" s="1">
        <v>129</v>
      </c>
      <c r="K331" s="1">
        <f t="shared" si="41"/>
        <v>7189170</v>
      </c>
      <c r="L331" s="1">
        <v>14</v>
      </c>
      <c r="M331" s="1">
        <f t="shared" si="39"/>
        <v>6408950</v>
      </c>
      <c r="N331" s="1">
        <f t="shared" si="40"/>
        <v>6324439</v>
      </c>
      <c r="O331" s="4">
        <f t="shared" si="36"/>
        <v>0.98681359661098933</v>
      </c>
      <c r="P331" s="4">
        <f t="shared" si="37"/>
        <v>12.173913043478262</v>
      </c>
      <c r="Q331" s="4">
        <f t="shared" si="38"/>
        <v>1.3909811563782745E-4</v>
      </c>
    </row>
    <row r="332" spans="1:17">
      <c r="A332" s="1" t="s">
        <v>354</v>
      </c>
      <c r="B332" s="1" t="s">
        <v>14</v>
      </c>
      <c r="C332" s="1" t="s">
        <v>29</v>
      </c>
      <c r="D332" s="1" t="s">
        <v>392</v>
      </c>
      <c r="E332" s="1">
        <v>41456</v>
      </c>
      <c r="F332" s="1">
        <v>80309</v>
      </c>
      <c r="G332" s="1">
        <f t="shared" si="35"/>
        <v>121765</v>
      </c>
      <c r="H332" s="1">
        <v>53465</v>
      </c>
      <c r="I332" s="1">
        <v>20</v>
      </c>
      <c r="J332" s="1">
        <v>20</v>
      </c>
      <c r="K332" s="1">
        <f t="shared" si="41"/>
        <v>1069300</v>
      </c>
      <c r="L332" s="1">
        <v>3</v>
      </c>
      <c r="M332" s="1">
        <f t="shared" si="39"/>
        <v>908905</v>
      </c>
      <c r="N332" s="1">
        <f t="shared" si="40"/>
        <v>787140</v>
      </c>
      <c r="O332" s="4">
        <f t="shared" si="36"/>
        <v>0.86603110336063727</v>
      </c>
      <c r="P332" s="4">
        <f t="shared" si="37"/>
        <v>17.647058823529413</v>
      </c>
      <c r="Q332" s="4">
        <f t="shared" si="38"/>
        <v>1.8703824932198635E-3</v>
      </c>
    </row>
    <row r="333" spans="1:17">
      <c r="A333" s="1" t="s">
        <v>355</v>
      </c>
      <c r="B333" s="1" t="s">
        <v>20</v>
      </c>
      <c r="C333" s="1" t="s">
        <v>18</v>
      </c>
      <c r="D333" s="1" t="s">
        <v>391</v>
      </c>
      <c r="E333" s="1">
        <v>9123</v>
      </c>
      <c r="F333" s="1">
        <v>206729</v>
      </c>
      <c r="G333" s="1">
        <f t="shared" si="35"/>
        <v>215852</v>
      </c>
      <c r="H333" s="1">
        <v>41021</v>
      </c>
      <c r="I333" s="1">
        <v>0</v>
      </c>
      <c r="J333" s="1">
        <v>48</v>
      </c>
      <c r="K333" s="1">
        <f t="shared" si="41"/>
        <v>1969008</v>
      </c>
      <c r="L333" s="1">
        <v>33</v>
      </c>
      <c r="M333" s="1">
        <f t="shared" si="39"/>
        <v>615315</v>
      </c>
      <c r="N333" s="1">
        <f t="shared" si="40"/>
        <v>399463</v>
      </c>
      <c r="O333" s="4">
        <f t="shared" si="36"/>
        <v>0.64920081584229217</v>
      </c>
      <c r="P333" s="4">
        <f t="shared" si="37"/>
        <v>220.00000000000003</v>
      </c>
      <c r="Q333" s="4">
        <f t="shared" si="38"/>
        <v>0</v>
      </c>
    </row>
    <row r="334" spans="1:17">
      <c r="A334" s="1" t="s">
        <v>356</v>
      </c>
      <c r="B334" s="1" t="s">
        <v>26</v>
      </c>
      <c r="C334" s="1" t="s">
        <v>18</v>
      </c>
      <c r="D334" s="1" t="s">
        <v>392</v>
      </c>
      <c r="E334" s="1">
        <v>23729</v>
      </c>
      <c r="F334" s="1">
        <v>369063</v>
      </c>
      <c r="G334" s="1">
        <f t="shared" si="35"/>
        <v>392792</v>
      </c>
      <c r="H334" s="1">
        <v>53923</v>
      </c>
      <c r="I334" s="1">
        <v>5</v>
      </c>
      <c r="J334" s="1">
        <v>139</v>
      </c>
      <c r="K334" s="1">
        <f t="shared" si="41"/>
        <v>7495297</v>
      </c>
      <c r="L334" s="1">
        <v>39</v>
      </c>
      <c r="M334" s="1">
        <f t="shared" si="39"/>
        <v>5392300</v>
      </c>
      <c r="N334" s="1">
        <f t="shared" si="40"/>
        <v>4999508</v>
      </c>
      <c r="O334" s="4">
        <f t="shared" si="36"/>
        <v>0.92715687183576578</v>
      </c>
      <c r="P334" s="4">
        <f t="shared" si="37"/>
        <v>39</v>
      </c>
      <c r="Q334" s="4">
        <f t="shared" si="38"/>
        <v>6.670849734173309E-5</v>
      </c>
    </row>
    <row r="335" spans="1:17">
      <c r="A335" s="1" t="s">
        <v>357</v>
      </c>
      <c r="B335" s="1" t="s">
        <v>14</v>
      </c>
      <c r="C335" s="1" t="s">
        <v>29</v>
      </c>
      <c r="D335" s="1" t="s">
        <v>391</v>
      </c>
      <c r="E335" s="1">
        <v>37443</v>
      </c>
      <c r="F335" s="1">
        <v>319479</v>
      </c>
      <c r="G335" s="1">
        <f t="shared" si="35"/>
        <v>356922</v>
      </c>
      <c r="H335" s="1">
        <v>65806</v>
      </c>
      <c r="I335" s="1">
        <v>2</v>
      </c>
      <c r="J335" s="1">
        <v>34</v>
      </c>
      <c r="K335" s="1">
        <f t="shared" si="41"/>
        <v>2237404</v>
      </c>
      <c r="L335" s="1">
        <v>37</v>
      </c>
      <c r="M335" s="1">
        <f t="shared" si="39"/>
        <v>-197418</v>
      </c>
      <c r="N335" s="1">
        <f t="shared" si="40"/>
        <v>-554340</v>
      </c>
      <c r="O335" s="4">
        <f t="shared" si="36"/>
        <v>-2.807950642798529</v>
      </c>
      <c r="P335" s="4">
        <f t="shared" si="37"/>
        <v>-1233.3333333333335</v>
      </c>
      <c r="Q335" s="4">
        <f t="shared" si="38"/>
        <v>8.9389310111182428E-5</v>
      </c>
    </row>
    <row r="336" spans="1:17">
      <c r="A336" s="1" t="s">
        <v>358</v>
      </c>
      <c r="B336" s="1" t="s">
        <v>14</v>
      </c>
      <c r="C336" s="1" t="s">
        <v>122</v>
      </c>
      <c r="D336" s="1" t="s">
        <v>391</v>
      </c>
      <c r="E336" s="1">
        <v>42288</v>
      </c>
      <c r="F336" s="1">
        <v>111946</v>
      </c>
      <c r="G336" s="1">
        <f t="shared" si="35"/>
        <v>154234</v>
      </c>
      <c r="H336" s="1">
        <v>18871</v>
      </c>
      <c r="I336" s="1">
        <v>0</v>
      </c>
      <c r="J336" s="1">
        <v>114</v>
      </c>
      <c r="K336" s="1">
        <f t="shared" si="41"/>
        <v>2151294</v>
      </c>
      <c r="L336" s="1">
        <v>18</v>
      </c>
      <c r="M336" s="1">
        <f t="shared" si="39"/>
        <v>1811616</v>
      </c>
      <c r="N336" s="1">
        <f t="shared" si="40"/>
        <v>1657382</v>
      </c>
      <c r="O336" s="4">
        <f t="shared" si="36"/>
        <v>0.91486385635808032</v>
      </c>
      <c r="P336" s="4">
        <f t="shared" si="37"/>
        <v>18.75</v>
      </c>
      <c r="Q336" s="4">
        <f t="shared" si="38"/>
        <v>0</v>
      </c>
    </row>
    <row r="337" spans="1:17">
      <c r="A337" s="1" t="s">
        <v>359</v>
      </c>
      <c r="B337" s="1" t="s">
        <v>17</v>
      </c>
      <c r="C337" s="1" t="s">
        <v>29</v>
      </c>
      <c r="D337" s="1" t="s">
        <v>391</v>
      </c>
      <c r="E337" s="1">
        <v>7227</v>
      </c>
      <c r="F337" s="1">
        <v>354302</v>
      </c>
      <c r="G337" s="1">
        <f t="shared" si="35"/>
        <v>361529</v>
      </c>
      <c r="H337" s="1">
        <v>36872</v>
      </c>
      <c r="I337" s="1">
        <v>15</v>
      </c>
      <c r="J337" s="1">
        <v>97</v>
      </c>
      <c r="K337" s="1">
        <f t="shared" si="41"/>
        <v>3576584</v>
      </c>
      <c r="L337" s="1">
        <v>29</v>
      </c>
      <c r="M337" s="1">
        <f t="shared" si="39"/>
        <v>2507296</v>
      </c>
      <c r="N337" s="1">
        <f t="shared" si="40"/>
        <v>2145767</v>
      </c>
      <c r="O337" s="4">
        <f t="shared" si="36"/>
        <v>0.8558092064120072</v>
      </c>
      <c r="P337" s="4">
        <f t="shared" si="37"/>
        <v>42.647058823529413</v>
      </c>
      <c r="Q337" s="4">
        <f t="shared" si="38"/>
        <v>4.1939459551348441E-4</v>
      </c>
    </row>
    <row r="338" spans="1:17">
      <c r="A338" s="1" t="s">
        <v>360</v>
      </c>
      <c r="B338" s="1" t="s">
        <v>17</v>
      </c>
      <c r="C338" s="1" t="s">
        <v>29</v>
      </c>
      <c r="D338" s="1" t="s">
        <v>392</v>
      </c>
      <c r="E338" s="1">
        <v>21830</v>
      </c>
      <c r="F338" s="1">
        <v>62589</v>
      </c>
      <c r="G338" s="1">
        <f t="shared" si="35"/>
        <v>84419</v>
      </c>
      <c r="H338" s="1">
        <v>27367</v>
      </c>
      <c r="I338" s="1">
        <v>20</v>
      </c>
      <c r="J338" s="1">
        <v>10</v>
      </c>
      <c r="K338" s="1">
        <f t="shared" si="41"/>
        <v>273670</v>
      </c>
      <c r="L338" s="1">
        <v>15</v>
      </c>
      <c r="M338" s="1">
        <f t="shared" si="39"/>
        <v>-136835</v>
      </c>
      <c r="N338" s="1">
        <f t="shared" si="40"/>
        <v>-221254</v>
      </c>
      <c r="O338" s="4">
        <f t="shared" si="36"/>
        <v>-1.6169401103518837</v>
      </c>
      <c r="P338" s="4">
        <f t="shared" si="37"/>
        <v>-300</v>
      </c>
      <c r="Q338" s="4">
        <f t="shared" si="38"/>
        <v>7.3080717652647346E-3</v>
      </c>
    </row>
    <row r="339" spans="1:17">
      <c r="A339" s="1" t="s">
        <v>361</v>
      </c>
      <c r="B339" s="1" t="s">
        <v>20</v>
      </c>
      <c r="C339" s="1" t="s">
        <v>29</v>
      </c>
      <c r="D339" s="1" t="s">
        <v>391</v>
      </c>
      <c r="E339" s="1">
        <v>9772</v>
      </c>
      <c r="F339" s="1">
        <v>307315</v>
      </c>
      <c r="G339" s="1">
        <f t="shared" si="35"/>
        <v>317087</v>
      </c>
      <c r="H339" s="1">
        <v>79081</v>
      </c>
      <c r="I339" s="1">
        <v>20</v>
      </c>
      <c r="J339" s="1">
        <v>112</v>
      </c>
      <c r="K339" s="1">
        <f t="shared" si="41"/>
        <v>8857072</v>
      </c>
      <c r="L339" s="1">
        <v>13</v>
      </c>
      <c r="M339" s="1">
        <f t="shared" si="39"/>
        <v>7829019</v>
      </c>
      <c r="N339" s="1">
        <f t="shared" si="40"/>
        <v>7511932</v>
      </c>
      <c r="O339" s="4">
        <f t="shared" si="36"/>
        <v>0.95949850166412931</v>
      </c>
      <c r="P339" s="4">
        <f t="shared" si="37"/>
        <v>13.131313131313133</v>
      </c>
      <c r="Q339" s="4">
        <f t="shared" si="38"/>
        <v>2.2580825807896787E-4</v>
      </c>
    </row>
    <row r="340" spans="1:17">
      <c r="A340" s="1" t="s">
        <v>362</v>
      </c>
      <c r="B340" s="1" t="s">
        <v>20</v>
      </c>
      <c r="C340" s="1" t="s">
        <v>15</v>
      </c>
      <c r="D340" s="1" t="s">
        <v>392</v>
      </c>
      <c r="E340" s="1">
        <v>20604</v>
      </c>
      <c r="F340" s="1">
        <v>126961</v>
      </c>
      <c r="G340" s="1">
        <f t="shared" si="35"/>
        <v>147565</v>
      </c>
      <c r="H340" s="1">
        <v>21594</v>
      </c>
      <c r="I340" s="1">
        <v>0</v>
      </c>
      <c r="J340" s="1">
        <v>42</v>
      </c>
      <c r="K340" s="1">
        <f t="shared" si="41"/>
        <v>906948</v>
      </c>
      <c r="L340" s="1">
        <v>14</v>
      </c>
      <c r="M340" s="1">
        <f t="shared" si="39"/>
        <v>604632</v>
      </c>
      <c r="N340" s="1">
        <f t="shared" si="40"/>
        <v>457067</v>
      </c>
      <c r="O340" s="4">
        <f t="shared" si="36"/>
        <v>0.75594245756096268</v>
      </c>
      <c r="P340" s="4">
        <f t="shared" si="37"/>
        <v>50</v>
      </c>
      <c r="Q340" s="4">
        <f t="shared" si="38"/>
        <v>0</v>
      </c>
    </row>
    <row r="341" spans="1:17">
      <c r="A341" s="1" t="s">
        <v>363</v>
      </c>
      <c r="B341" s="1" t="s">
        <v>26</v>
      </c>
      <c r="C341" s="1" t="s">
        <v>21</v>
      </c>
      <c r="D341" s="1" t="s">
        <v>391</v>
      </c>
      <c r="E341" s="1">
        <v>24382</v>
      </c>
      <c r="F341" s="1">
        <v>172852</v>
      </c>
      <c r="G341" s="1">
        <f t="shared" si="35"/>
        <v>197234</v>
      </c>
      <c r="H341" s="1">
        <v>40316</v>
      </c>
      <c r="I341" s="1">
        <v>5</v>
      </c>
      <c r="J341" s="1">
        <v>147</v>
      </c>
      <c r="K341" s="1">
        <f t="shared" si="41"/>
        <v>5926452</v>
      </c>
      <c r="L341" s="1">
        <v>29</v>
      </c>
      <c r="M341" s="1">
        <f t="shared" si="39"/>
        <v>4757288</v>
      </c>
      <c r="N341" s="1">
        <f t="shared" si="40"/>
        <v>4560054</v>
      </c>
      <c r="O341" s="4">
        <f t="shared" si="36"/>
        <v>0.95854066434489571</v>
      </c>
      <c r="P341" s="4">
        <f t="shared" si="37"/>
        <v>24.576271186440678</v>
      </c>
      <c r="Q341" s="4">
        <f t="shared" si="38"/>
        <v>8.4367510274275403E-5</v>
      </c>
    </row>
    <row r="342" spans="1:17">
      <c r="A342" s="1" t="s">
        <v>364</v>
      </c>
      <c r="B342" s="1" t="s">
        <v>20</v>
      </c>
      <c r="C342" s="1" t="s">
        <v>29</v>
      </c>
      <c r="D342" s="1" t="s">
        <v>392</v>
      </c>
      <c r="E342" s="1">
        <v>13059</v>
      </c>
      <c r="F342" s="1">
        <v>333311</v>
      </c>
      <c r="G342" s="1">
        <f t="shared" si="35"/>
        <v>346370</v>
      </c>
      <c r="H342" s="1">
        <v>46902</v>
      </c>
      <c r="I342" s="1">
        <v>15</v>
      </c>
      <c r="J342" s="1">
        <v>28</v>
      </c>
      <c r="K342" s="1">
        <f t="shared" si="41"/>
        <v>1313256</v>
      </c>
      <c r="L342" s="1">
        <v>13</v>
      </c>
      <c r="M342" s="1">
        <f t="shared" si="39"/>
        <v>703530</v>
      </c>
      <c r="N342" s="1">
        <f t="shared" si="40"/>
        <v>357160</v>
      </c>
      <c r="O342" s="4">
        <f t="shared" si="36"/>
        <v>0.5076684718491038</v>
      </c>
      <c r="P342" s="4">
        <f t="shared" si="37"/>
        <v>86.666666666666671</v>
      </c>
      <c r="Q342" s="4">
        <f t="shared" si="38"/>
        <v>1.1421992360971507E-3</v>
      </c>
    </row>
    <row r="343" spans="1:17">
      <c r="A343" s="1" t="s">
        <v>365</v>
      </c>
      <c r="B343" s="1" t="s">
        <v>14</v>
      </c>
      <c r="C343" s="1" t="s">
        <v>15</v>
      </c>
      <c r="D343" s="1" t="s">
        <v>392</v>
      </c>
      <c r="E343" s="1">
        <v>6344</v>
      </c>
      <c r="F343" s="1">
        <v>126991</v>
      </c>
      <c r="G343" s="1">
        <f t="shared" si="35"/>
        <v>133335</v>
      </c>
      <c r="H343" s="1">
        <v>57183</v>
      </c>
      <c r="I343" s="1">
        <v>15</v>
      </c>
      <c r="J343" s="1">
        <v>102</v>
      </c>
      <c r="K343" s="1">
        <f t="shared" si="41"/>
        <v>5832666</v>
      </c>
      <c r="L343" s="1">
        <v>39</v>
      </c>
      <c r="M343" s="1">
        <f t="shared" si="39"/>
        <v>3602529</v>
      </c>
      <c r="N343" s="1">
        <f t="shared" si="40"/>
        <v>3469194</v>
      </c>
      <c r="O343" s="4">
        <f t="shared" si="36"/>
        <v>0.96298850057834373</v>
      </c>
      <c r="P343" s="4">
        <f t="shared" si="37"/>
        <v>61.904761904761905</v>
      </c>
      <c r="Q343" s="4">
        <f t="shared" si="38"/>
        <v>2.5717227765142047E-4</v>
      </c>
    </row>
    <row r="344" spans="1:17">
      <c r="A344" s="1" t="s">
        <v>366</v>
      </c>
      <c r="B344" s="1" t="s">
        <v>17</v>
      </c>
      <c r="C344" s="1" t="s">
        <v>21</v>
      </c>
      <c r="D344" s="1" t="s">
        <v>392</v>
      </c>
      <c r="E344" s="1">
        <v>11283</v>
      </c>
      <c r="F344" s="1">
        <v>151922</v>
      </c>
      <c r="G344" s="1">
        <f t="shared" si="35"/>
        <v>163205</v>
      </c>
      <c r="H344" s="1">
        <v>66667</v>
      </c>
      <c r="I344" s="1">
        <v>20</v>
      </c>
      <c r="J344" s="1">
        <v>148</v>
      </c>
      <c r="K344" s="1">
        <f t="shared" si="41"/>
        <v>9866716</v>
      </c>
      <c r="L344" s="1">
        <v>2</v>
      </c>
      <c r="M344" s="1">
        <f t="shared" si="39"/>
        <v>9733382</v>
      </c>
      <c r="N344" s="1">
        <f t="shared" si="40"/>
        <v>9570177</v>
      </c>
      <c r="O344" s="4">
        <f t="shared" si="36"/>
        <v>0.98323244685146438</v>
      </c>
      <c r="P344" s="4">
        <f t="shared" si="37"/>
        <v>1.3698630136986301</v>
      </c>
      <c r="Q344" s="4">
        <f t="shared" si="38"/>
        <v>2.0270168919425674E-4</v>
      </c>
    </row>
    <row r="345" spans="1:17">
      <c r="A345" s="1" t="s">
        <v>367</v>
      </c>
      <c r="B345" s="1" t="s">
        <v>17</v>
      </c>
      <c r="C345" s="1" t="s">
        <v>18</v>
      </c>
      <c r="D345" s="1" t="s">
        <v>392</v>
      </c>
      <c r="E345" s="1">
        <v>32287</v>
      </c>
      <c r="F345" s="1">
        <v>162763</v>
      </c>
      <c r="G345" s="1">
        <f t="shared" si="35"/>
        <v>195050</v>
      </c>
      <c r="H345" s="1">
        <v>29005</v>
      </c>
      <c r="I345" s="1">
        <v>10</v>
      </c>
      <c r="J345" s="1">
        <v>64</v>
      </c>
      <c r="K345" s="1">
        <f t="shared" si="41"/>
        <v>1856320</v>
      </c>
      <c r="L345" s="1">
        <v>14</v>
      </c>
      <c r="M345" s="1">
        <f t="shared" si="39"/>
        <v>1450250</v>
      </c>
      <c r="N345" s="1">
        <f t="shared" si="40"/>
        <v>1255200</v>
      </c>
      <c r="O345" s="4">
        <f t="shared" si="36"/>
        <v>0.86550594725047403</v>
      </c>
      <c r="P345" s="4">
        <f t="shared" si="37"/>
        <v>28.000000000000004</v>
      </c>
      <c r="Q345" s="4">
        <f t="shared" si="38"/>
        <v>5.387002240992933E-4</v>
      </c>
    </row>
    <row r="346" spans="1:17">
      <c r="A346" s="1" t="s">
        <v>368</v>
      </c>
      <c r="B346" s="1" t="s">
        <v>14</v>
      </c>
      <c r="C346" s="1" t="s">
        <v>18</v>
      </c>
      <c r="D346" s="1" t="s">
        <v>392</v>
      </c>
      <c r="E346" s="1">
        <v>34771</v>
      </c>
      <c r="F346" s="1">
        <v>70404</v>
      </c>
      <c r="G346" s="1">
        <f t="shared" si="35"/>
        <v>105175</v>
      </c>
      <c r="H346" s="1">
        <v>14633</v>
      </c>
      <c r="I346" s="1">
        <v>0</v>
      </c>
      <c r="J346" s="1">
        <v>51</v>
      </c>
      <c r="K346" s="1">
        <f t="shared" si="41"/>
        <v>746283</v>
      </c>
      <c r="L346" s="1">
        <v>30</v>
      </c>
      <c r="M346" s="1">
        <f t="shared" si="39"/>
        <v>307293</v>
      </c>
      <c r="N346" s="1">
        <f t="shared" si="40"/>
        <v>202118</v>
      </c>
      <c r="O346" s="4">
        <f t="shared" si="36"/>
        <v>0.65773707829335515</v>
      </c>
      <c r="P346" s="4">
        <f t="shared" si="37"/>
        <v>142.85714285714286</v>
      </c>
      <c r="Q346" s="4">
        <f t="shared" si="38"/>
        <v>0</v>
      </c>
    </row>
    <row r="347" spans="1:17">
      <c r="A347" s="1" t="s">
        <v>369</v>
      </c>
      <c r="B347" s="1" t="s">
        <v>26</v>
      </c>
      <c r="C347" s="1" t="s">
        <v>15</v>
      </c>
      <c r="D347" s="1" t="s">
        <v>391</v>
      </c>
      <c r="E347" s="1">
        <v>33156</v>
      </c>
      <c r="F347" s="1">
        <v>341207</v>
      </c>
      <c r="G347" s="1">
        <f t="shared" si="35"/>
        <v>374363</v>
      </c>
      <c r="H347" s="1">
        <v>57507</v>
      </c>
      <c r="I347" s="1">
        <v>20</v>
      </c>
      <c r="J347" s="1">
        <v>142</v>
      </c>
      <c r="K347" s="1">
        <f t="shared" si="41"/>
        <v>8165994</v>
      </c>
      <c r="L347" s="1">
        <v>40</v>
      </c>
      <c r="M347" s="1">
        <f t="shared" si="39"/>
        <v>5865714</v>
      </c>
      <c r="N347" s="1">
        <f t="shared" si="40"/>
        <v>5491351</v>
      </c>
      <c r="O347" s="4">
        <f t="shared" si="36"/>
        <v>0.93617776113871221</v>
      </c>
      <c r="P347" s="4">
        <f t="shared" si="37"/>
        <v>39.215686274509807</v>
      </c>
      <c r="Q347" s="4">
        <f t="shared" si="38"/>
        <v>2.4491813244045975E-4</v>
      </c>
    </row>
    <row r="348" spans="1:17">
      <c r="A348" s="1" t="s">
        <v>370</v>
      </c>
      <c r="B348" s="1" t="s">
        <v>26</v>
      </c>
      <c r="C348" s="1" t="s">
        <v>15</v>
      </c>
      <c r="D348" s="1" t="s">
        <v>391</v>
      </c>
      <c r="E348" s="1">
        <v>33929</v>
      </c>
      <c r="F348" s="1">
        <v>389663</v>
      </c>
      <c r="G348" s="1">
        <f t="shared" si="35"/>
        <v>423592</v>
      </c>
      <c r="H348" s="1">
        <v>17032</v>
      </c>
      <c r="I348" s="1">
        <v>20</v>
      </c>
      <c r="J348" s="1">
        <v>39</v>
      </c>
      <c r="K348" s="1">
        <f t="shared" si="41"/>
        <v>664248</v>
      </c>
      <c r="L348" s="1">
        <v>22</v>
      </c>
      <c r="M348" s="1">
        <f t="shared" si="39"/>
        <v>289544</v>
      </c>
      <c r="N348" s="1">
        <f t="shared" si="40"/>
        <v>-134048</v>
      </c>
      <c r="O348" s="4">
        <f t="shared" si="36"/>
        <v>-0.46296245130273811</v>
      </c>
      <c r="P348" s="4">
        <f t="shared" si="37"/>
        <v>129.41176470588235</v>
      </c>
      <c r="Q348" s="4">
        <f t="shared" si="38"/>
        <v>3.010923630933025E-3</v>
      </c>
    </row>
    <row r="349" spans="1:17">
      <c r="A349" s="1" t="s">
        <v>371</v>
      </c>
      <c r="B349" s="1" t="s">
        <v>14</v>
      </c>
      <c r="C349" s="1" t="s">
        <v>29</v>
      </c>
      <c r="D349" s="1" t="s">
        <v>392</v>
      </c>
      <c r="E349" s="1">
        <v>24294</v>
      </c>
      <c r="F349" s="1">
        <v>123867</v>
      </c>
      <c r="G349" s="1">
        <f t="shared" si="35"/>
        <v>148161</v>
      </c>
      <c r="H349" s="1">
        <v>32725</v>
      </c>
      <c r="I349" s="1">
        <v>5</v>
      </c>
      <c r="J349" s="1">
        <v>104</v>
      </c>
      <c r="K349" s="1">
        <f t="shared" si="41"/>
        <v>3403400</v>
      </c>
      <c r="L349" s="1">
        <v>32</v>
      </c>
      <c r="M349" s="1">
        <f t="shared" si="39"/>
        <v>2356200</v>
      </c>
      <c r="N349" s="1">
        <f t="shared" si="40"/>
        <v>2208039</v>
      </c>
      <c r="O349" s="4">
        <f t="shared" si="36"/>
        <v>0.93711866564807744</v>
      </c>
      <c r="P349" s="4">
        <f t="shared" si="37"/>
        <v>44.444444444444443</v>
      </c>
      <c r="Q349" s="4">
        <f t="shared" si="38"/>
        <v>1.4691191161779398E-4</v>
      </c>
    </row>
    <row r="350" spans="1:17">
      <c r="A350" s="1" t="s">
        <v>372</v>
      </c>
      <c r="B350" s="1" t="s">
        <v>26</v>
      </c>
      <c r="C350" s="1" t="s">
        <v>18</v>
      </c>
      <c r="D350" s="1" t="s">
        <v>392</v>
      </c>
      <c r="E350" s="1">
        <v>8847</v>
      </c>
      <c r="F350" s="1">
        <v>327626</v>
      </c>
      <c r="G350" s="1">
        <f t="shared" si="35"/>
        <v>336473</v>
      </c>
      <c r="H350" s="1">
        <v>36592</v>
      </c>
      <c r="I350" s="1">
        <v>20</v>
      </c>
      <c r="J350" s="1">
        <v>18</v>
      </c>
      <c r="K350" s="1">
        <f t="shared" si="41"/>
        <v>658656</v>
      </c>
      <c r="L350" s="1">
        <v>2</v>
      </c>
      <c r="M350" s="1">
        <f t="shared" si="39"/>
        <v>585472</v>
      </c>
      <c r="N350" s="1">
        <f t="shared" si="40"/>
        <v>248999</v>
      </c>
      <c r="O350" s="4">
        <f t="shared" si="36"/>
        <v>0.425296171294272</v>
      </c>
      <c r="P350" s="4">
        <f t="shared" si="37"/>
        <v>12.5</v>
      </c>
      <c r="Q350" s="4">
        <f t="shared" si="38"/>
        <v>3.036486420832726E-3</v>
      </c>
    </row>
    <row r="351" spans="1:17">
      <c r="A351" s="1" t="s">
        <v>373</v>
      </c>
      <c r="B351" s="1" t="s">
        <v>17</v>
      </c>
      <c r="C351" s="1" t="s">
        <v>15</v>
      </c>
      <c r="D351" s="1" t="s">
        <v>392</v>
      </c>
      <c r="E351" s="1">
        <v>45756</v>
      </c>
      <c r="F351" s="1">
        <v>278428</v>
      </c>
      <c r="G351" s="1">
        <f t="shared" si="35"/>
        <v>324184</v>
      </c>
      <c r="H351" s="1">
        <v>68463</v>
      </c>
      <c r="I351" s="1">
        <v>15</v>
      </c>
      <c r="J351" s="1">
        <v>125</v>
      </c>
      <c r="K351" s="1">
        <f t="shared" si="41"/>
        <v>8557875</v>
      </c>
      <c r="L351" s="1">
        <v>16</v>
      </c>
      <c r="M351" s="1">
        <f t="shared" si="39"/>
        <v>7462467</v>
      </c>
      <c r="N351" s="1">
        <f t="shared" si="40"/>
        <v>7138283</v>
      </c>
      <c r="O351" s="4">
        <f t="shared" si="36"/>
        <v>0.95655806585141345</v>
      </c>
      <c r="P351" s="4">
        <f t="shared" si="37"/>
        <v>14.678899082568808</v>
      </c>
      <c r="Q351" s="4">
        <f t="shared" si="38"/>
        <v>1.7527715700451339E-4</v>
      </c>
    </row>
    <row r="352" spans="1:17">
      <c r="A352" s="1" t="s">
        <v>374</v>
      </c>
      <c r="B352" s="1" t="s">
        <v>14</v>
      </c>
      <c r="C352" s="1" t="s">
        <v>29</v>
      </c>
      <c r="D352" s="1" t="s">
        <v>392</v>
      </c>
      <c r="E352" s="1">
        <v>5290</v>
      </c>
      <c r="F352" s="1">
        <v>131331</v>
      </c>
      <c r="G352" s="1">
        <f t="shared" si="35"/>
        <v>136621</v>
      </c>
      <c r="H352" s="1">
        <v>32933</v>
      </c>
      <c r="I352" s="1">
        <v>0</v>
      </c>
      <c r="J352" s="1">
        <v>111</v>
      </c>
      <c r="K352" s="1">
        <f t="shared" si="41"/>
        <v>3655563</v>
      </c>
      <c r="L352" s="1">
        <v>21</v>
      </c>
      <c r="M352" s="1">
        <f t="shared" si="39"/>
        <v>2963970</v>
      </c>
      <c r="N352" s="1">
        <f t="shared" si="40"/>
        <v>2827349</v>
      </c>
      <c r="O352" s="4">
        <f t="shared" si="36"/>
        <v>0.95390607867151156</v>
      </c>
      <c r="P352" s="4">
        <f t="shared" si="37"/>
        <v>23.333333333333332</v>
      </c>
      <c r="Q352" s="4">
        <f t="shared" si="38"/>
        <v>0</v>
      </c>
    </row>
    <row r="353" spans="1:17">
      <c r="A353" s="1" t="s">
        <v>375</v>
      </c>
      <c r="B353" s="1" t="s">
        <v>26</v>
      </c>
      <c r="C353" s="1" t="s">
        <v>15</v>
      </c>
      <c r="D353" s="1" t="s">
        <v>392</v>
      </c>
      <c r="E353" s="1">
        <v>26387</v>
      </c>
      <c r="F353" s="1">
        <v>316656</v>
      </c>
      <c r="G353" s="1">
        <f t="shared" si="35"/>
        <v>343043</v>
      </c>
      <c r="H353" s="1">
        <v>53059</v>
      </c>
      <c r="I353" s="1">
        <v>15</v>
      </c>
      <c r="J353" s="1">
        <v>115</v>
      </c>
      <c r="K353" s="1">
        <f t="shared" si="41"/>
        <v>6101785</v>
      </c>
      <c r="L353" s="1">
        <v>17</v>
      </c>
      <c r="M353" s="1">
        <f t="shared" si="39"/>
        <v>5199782</v>
      </c>
      <c r="N353" s="1">
        <f t="shared" si="40"/>
        <v>4856739</v>
      </c>
      <c r="O353" s="4">
        <f t="shared" si="36"/>
        <v>0.93402742653442006</v>
      </c>
      <c r="P353" s="4">
        <f t="shared" si="37"/>
        <v>17.346938775510203</v>
      </c>
      <c r="Q353" s="4">
        <f t="shared" si="38"/>
        <v>2.458297039308989E-4</v>
      </c>
    </row>
    <row r="354" spans="1:17">
      <c r="A354" s="1" t="s">
        <v>376</v>
      </c>
      <c r="B354" s="1" t="s">
        <v>26</v>
      </c>
      <c r="C354" s="1" t="s">
        <v>29</v>
      </c>
      <c r="D354" s="1" t="s">
        <v>392</v>
      </c>
      <c r="E354" s="1">
        <v>29228</v>
      </c>
      <c r="F354" s="1">
        <v>333228</v>
      </c>
      <c r="G354" s="1">
        <f t="shared" si="35"/>
        <v>362456</v>
      </c>
      <c r="H354" s="1">
        <v>13778</v>
      </c>
      <c r="I354" s="1">
        <v>0</v>
      </c>
      <c r="J354" s="1">
        <v>44</v>
      </c>
      <c r="K354" s="1">
        <f t="shared" si="41"/>
        <v>606232</v>
      </c>
      <c r="L354" s="1">
        <v>30</v>
      </c>
      <c r="M354" s="1">
        <f t="shared" si="39"/>
        <v>192892</v>
      </c>
      <c r="N354" s="1">
        <f t="shared" si="40"/>
        <v>-169564</v>
      </c>
      <c r="O354" s="4">
        <f t="shared" si="36"/>
        <v>-0.87906185844928764</v>
      </c>
      <c r="P354" s="4">
        <f t="shared" si="37"/>
        <v>214.28571428571428</v>
      </c>
      <c r="Q354" s="4">
        <f t="shared" si="38"/>
        <v>0</v>
      </c>
    </row>
    <row r="355" spans="1:17">
      <c r="A355" s="1" t="s">
        <v>377</v>
      </c>
      <c r="B355" s="1" t="s">
        <v>14</v>
      </c>
      <c r="C355" s="1" t="s">
        <v>74</v>
      </c>
      <c r="D355" s="1" t="s">
        <v>392</v>
      </c>
      <c r="E355" s="1">
        <v>34617</v>
      </c>
      <c r="F355" s="1">
        <v>207358</v>
      </c>
      <c r="G355" s="1">
        <f t="shared" si="35"/>
        <v>241975</v>
      </c>
      <c r="H355" s="1">
        <v>76899</v>
      </c>
      <c r="I355" s="1">
        <v>0</v>
      </c>
      <c r="J355" s="1">
        <v>150</v>
      </c>
      <c r="K355" s="1">
        <f t="shared" si="41"/>
        <v>11534850</v>
      </c>
      <c r="L355" s="1">
        <v>40</v>
      </c>
      <c r="M355" s="1">
        <f t="shared" si="39"/>
        <v>8458890</v>
      </c>
      <c r="N355" s="1">
        <f t="shared" si="40"/>
        <v>8216915</v>
      </c>
      <c r="O355" s="4">
        <f t="shared" si="36"/>
        <v>0.97139400086772609</v>
      </c>
      <c r="P355" s="4">
        <f t="shared" si="37"/>
        <v>36.363636363636367</v>
      </c>
      <c r="Q355" s="4">
        <f t="shared" si="38"/>
        <v>0</v>
      </c>
    </row>
    <row r="356" spans="1:17">
      <c r="A356" s="1" t="s">
        <v>378</v>
      </c>
      <c r="B356" s="1" t="s">
        <v>26</v>
      </c>
      <c r="C356" s="1" t="s">
        <v>29</v>
      </c>
      <c r="D356" s="1" t="s">
        <v>392</v>
      </c>
      <c r="E356" s="1">
        <v>20833</v>
      </c>
      <c r="F356" s="1">
        <v>242993</v>
      </c>
      <c r="G356" s="1">
        <f t="shared" si="35"/>
        <v>263826</v>
      </c>
      <c r="H356" s="1">
        <v>50205</v>
      </c>
      <c r="I356" s="1">
        <v>1</v>
      </c>
      <c r="J356" s="1">
        <v>28</v>
      </c>
      <c r="K356" s="1">
        <f t="shared" si="41"/>
        <v>1405740</v>
      </c>
      <c r="L356" s="1">
        <v>33</v>
      </c>
      <c r="M356" s="1">
        <f t="shared" si="39"/>
        <v>-251025</v>
      </c>
      <c r="N356" s="1">
        <f t="shared" si="40"/>
        <v>-514851</v>
      </c>
      <c r="O356" s="4">
        <f t="shared" si="36"/>
        <v>-2.050994920824619</v>
      </c>
      <c r="P356" s="4">
        <f t="shared" si="37"/>
        <v>-660</v>
      </c>
      <c r="Q356" s="4">
        <f t="shared" si="38"/>
        <v>7.1136910097173016E-5</v>
      </c>
    </row>
    <row r="357" spans="1:17">
      <c r="A357" s="1" t="s">
        <v>379</v>
      </c>
      <c r="B357" s="1" t="s">
        <v>14</v>
      </c>
      <c r="C357" s="1" t="s">
        <v>21</v>
      </c>
      <c r="D357" s="1" t="s">
        <v>391</v>
      </c>
      <c r="E357" s="1">
        <v>36325</v>
      </c>
      <c r="F357" s="1">
        <v>357009</v>
      </c>
      <c r="G357" s="1">
        <f t="shared" si="35"/>
        <v>393334</v>
      </c>
      <c r="H357" s="1">
        <v>31887</v>
      </c>
      <c r="I357" s="1">
        <v>5</v>
      </c>
      <c r="J357" s="1">
        <v>30</v>
      </c>
      <c r="K357" s="1">
        <f t="shared" si="41"/>
        <v>956610</v>
      </c>
      <c r="L357" s="1">
        <v>13</v>
      </c>
      <c r="M357" s="1">
        <f t="shared" si="39"/>
        <v>542079</v>
      </c>
      <c r="N357" s="1">
        <f t="shared" si="40"/>
        <v>148745</v>
      </c>
      <c r="O357" s="4">
        <f t="shared" si="36"/>
        <v>0.27439727419804122</v>
      </c>
      <c r="P357" s="4">
        <f t="shared" si="37"/>
        <v>76.470588235294116</v>
      </c>
      <c r="Q357" s="4">
        <f t="shared" si="38"/>
        <v>5.2267904370642169E-4</v>
      </c>
    </row>
    <row r="358" spans="1:17">
      <c r="A358" s="1" t="s">
        <v>380</v>
      </c>
      <c r="B358" s="1" t="s">
        <v>20</v>
      </c>
      <c r="C358" s="1" t="s">
        <v>15</v>
      </c>
      <c r="D358" s="1" t="s">
        <v>393</v>
      </c>
      <c r="E358" s="1">
        <v>48414</v>
      </c>
      <c r="F358" s="1">
        <v>89232</v>
      </c>
      <c r="G358" s="1">
        <f t="shared" si="35"/>
        <v>137646</v>
      </c>
      <c r="H358" s="1">
        <v>41686</v>
      </c>
      <c r="I358" s="1">
        <v>0</v>
      </c>
      <c r="J358" s="1">
        <v>27</v>
      </c>
      <c r="K358" s="1">
        <f t="shared" si="41"/>
        <v>1125522</v>
      </c>
      <c r="L358" s="1">
        <v>31</v>
      </c>
      <c r="M358" s="1">
        <f t="shared" si="39"/>
        <v>-166744</v>
      </c>
      <c r="N358" s="1">
        <f t="shared" si="40"/>
        <v>-304390</v>
      </c>
      <c r="O358" s="4">
        <f t="shared" si="36"/>
        <v>-1.8254929712613348</v>
      </c>
      <c r="P358" s="4">
        <f t="shared" si="37"/>
        <v>-775</v>
      </c>
      <c r="Q358" s="4">
        <f t="shared" si="38"/>
        <v>0</v>
      </c>
    </row>
    <row r="359" spans="1:17">
      <c r="A359" s="1" t="s">
        <v>381</v>
      </c>
      <c r="B359" s="1" t="s">
        <v>20</v>
      </c>
      <c r="C359" s="1" t="s">
        <v>15</v>
      </c>
      <c r="D359" s="1" t="s">
        <v>392</v>
      </c>
      <c r="E359" s="1">
        <v>36764</v>
      </c>
      <c r="F359" s="1">
        <v>320892</v>
      </c>
      <c r="G359" s="1">
        <f t="shared" si="35"/>
        <v>357656</v>
      </c>
      <c r="H359" s="1">
        <v>36570</v>
      </c>
      <c r="I359" s="1">
        <v>2</v>
      </c>
      <c r="J359" s="1">
        <v>122</v>
      </c>
      <c r="K359" s="1">
        <f t="shared" si="41"/>
        <v>4461540</v>
      </c>
      <c r="L359" s="1">
        <v>35</v>
      </c>
      <c r="M359" s="1">
        <f t="shared" si="39"/>
        <v>3181590</v>
      </c>
      <c r="N359" s="1">
        <f t="shared" si="40"/>
        <v>2823934</v>
      </c>
      <c r="O359" s="4">
        <f t="shared" si="36"/>
        <v>0.88758576686499513</v>
      </c>
      <c r="P359" s="4">
        <f t="shared" si="37"/>
        <v>40.229885057471265</v>
      </c>
      <c r="Q359" s="4">
        <f t="shared" si="38"/>
        <v>4.4827570749113535E-5</v>
      </c>
    </row>
    <row r="360" spans="1:17">
      <c r="A360" s="1" t="s">
        <v>382</v>
      </c>
      <c r="B360" s="1" t="s">
        <v>20</v>
      </c>
      <c r="C360" s="1" t="s">
        <v>15</v>
      </c>
      <c r="D360" s="1" t="s">
        <v>392</v>
      </c>
      <c r="E360" s="1">
        <v>13170</v>
      </c>
      <c r="F360" s="1">
        <v>230513</v>
      </c>
      <c r="G360" s="1">
        <f t="shared" si="35"/>
        <v>243683</v>
      </c>
      <c r="H360" s="1">
        <v>25689</v>
      </c>
      <c r="I360" s="1">
        <v>20</v>
      </c>
      <c r="J360" s="1">
        <v>48</v>
      </c>
      <c r="K360" s="1">
        <f t="shared" si="41"/>
        <v>1233072</v>
      </c>
      <c r="L360" s="1">
        <v>18</v>
      </c>
      <c r="M360" s="1">
        <f t="shared" si="39"/>
        <v>770670</v>
      </c>
      <c r="N360" s="1">
        <f t="shared" si="40"/>
        <v>526987</v>
      </c>
      <c r="O360" s="4">
        <f t="shared" si="36"/>
        <v>0.68380370327117967</v>
      </c>
      <c r="P360" s="4">
        <f t="shared" si="37"/>
        <v>60</v>
      </c>
      <c r="Q360" s="4">
        <f t="shared" si="38"/>
        <v>1.6219653029182401E-3</v>
      </c>
    </row>
    <row r="361" spans="1:17">
      <c r="A361" s="1" t="s">
        <v>383</v>
      </c>
      <c r="B361" s="1" t="s">
        <v>20</v>
      </c>
      <c r="C361" s="1" t="s">
        <v>18</v>
      </c>
      <c r="D361" s="1" t="s">
        <v>392</v>
      </c>
      <c r="E361" s="1">
        <v>29129</v>
      </c>
      <c r="F361" s="1">
        <v>244088</v>
      </c>
      <c r="G361" s="1">
        <f t="shared" si="35"/>
        <v>273217</v>
      </c>
      <c r="H361" s="1">
        <v>15129</v>
      </c>
      <c r="I361" s="1">
        <v>0</v>
      </c>
      <c r="J361" s="1">
        <v>69</v>
      </c>
      <c r="K361" s="1">
        <f t="shared" si="41"/>
        <v>1043901</v>
      </c>
      <c r="L361" s="1">
        <v>0</v>
      </c>
      <c r="M361" s="1">
        <f t="shared" si="39"/>
        <v>1043901</v>
      </c>
      <c r="N361" s="1">
        <f t="shared" si="40"/>
        <v>770684</v>
      </c>
      <c r="O361" s="4">
        <f t="shared" si="36"/>
        <v>0.73827307378764839</v>
      </c>
      <c r="P361" s="4">
        <f t="shared" si="37"/>
        <v>0</v>
      </c>
      <c r="Q361" s="4">
        <f t="shared" si="38"/>
        <v>0</v>
      </c>
    </row>
    <row r="362" spans="1:17">
      <c r="A362" s="1" t="s">
        <v>384</v>
      </c>
      <c r="B362" s="1" t="s">
        <v>26</v>
      </c>
      <c r="C362" s="1" t="s">
        <v>21</v>
      </c>
      <c r="D362" s="1" t="s">
        <v>392</v>
      </c>
      <c r="E362" s="1">
        <v>45851</v>
      </c>
      <c r="F362" s="1">
        <v>341754</v>
      </c>
      <c r="G362" s="1">
        <f t="shared" si="35"/>
        <v>387605</v>
      </c>
      <c r="H362" s="1">
        <v>71967</v>
      </c>
      <c r="I362" s="1">
        <v>5</v>
      </c>
      <c r="J362" s="1">
        <v>70</v>
      </c>
      <c r="K362" s="1">
        <f t="shared" si="41"/>
        <v>5037690</v>
      </c>
      <c r="L362" s="1">
        <v>33</v>
      </c>
      <c r="M362" s="1">
        <f t="shared" si="39"/>
        <v>2662779</v>
      </c>
      <c r="N362" s="1">
        <f t="shared" si="40"/>
        <v>2275174</v>
      </c>
      <c r="O362" s="4">
        <f t="shared" si="36"/>
        <v>0.85443591075338965</v>
      </c>
      <c r="P362" s="4">
        <f t="shared" si="37"/>
        <v>89.189189189189193</v>
      </c>
      <c r="Q362" s="4">
        <f t="shared" si="38"/>
        <v>9.9251839632847599E-5</v>
      </c>
    </row>
    <row r="363" spans="1:17">
      <c r="A363" s="1" t="s">
        <v>385</v>
      </c>
      <c r="B363" s="1" t="s">
        <v>26</v>
      </c>
      <c r="C363" s="1" t="s">
        <v>18</v>
      </c>
      <c r="D363" s="1" t="s">
        <v>391</v>
      </c>
      <c r="E363" s="1">
        <v>26769</v>
      </c>
      <c r="F363" s="1">
        <v>104095</v>
      </c>
      <c r="G363" s="1">
        <f t="shared" si="35"/>
        <v>130864</v>
      </c>
      <c r="H363" s="1">
        <v>26110</v>
      </c>
      <c r="I363" s="1">
        <v>5</v>
      </c>
      <c r="J363" s="1">
        <v>144</v>
      </c>
      <c r="K363" s="1">
        <f t="shared" si="41"/>
        <v>3759840</v>
      </c>
      <c r="L363" s="1">
        <v>38</v>
      </c>
      <c r="M363" s="1">
        <f t="shared" si="39"/>
        <v>2767660</v>
      </c>
      <c r="N363" s="1">
        <f t="shared" si="40"/>
        <v>2636796</v>
      </c>
      <c r="O363" s="4">
        <f t="shared" si="36"/>
        <v>0.95271673543715629</v>
      </c>
      <c r="P363" s="4">
        <f t="shared" si="37"/>
        <v>35.849056603773583</v>
      </c>
      <c r="Q363" s="4">
        <f t="shared" si="38"/>
        <v>1.3298438231414101E-4</v>
      </c>
    </row>
    <row r="364" spans="1:17">
      <c r="A364" s="1" t="s">
        <v>386</v>
      </c>
      <c r="B364" s="1" t="s">
        <v>20</v>
      </c>
      <c r="C364" s="1" t="s">
        <v>21</v>
      </c>
      <c r="D364" s="1" t="s">
        <v>391</v>
      </c>
      <c r="E364" s="1">
        <v>44286</v>
      </c>
      <c r="F364" s="1">
        <v>63086</v>
      </c>
      <c r="G364" s="1">
        <f t="shared" si="35"/>
        <v>107372</v>
      </c>
      <c r="H364" s="1">
        <v>56795</v>
      </c>
      <c r="I364" s="1">
        <v>20</v>
      </c>
      <c r="J364" s="1">
        <v>42</v>
      </c>
      <c r="K364" s="1">
        <f t="shared" si="41"/>
        <v>2385390</v>
      </c>
      <c r="L364" s="1">
        <v>21</v>
      </c>
      <c r="M364" s="1">
        <f t="shared" si="39"/>
        <v>1192695</v>
      </c>
      <c r="N364" s="1">
        <f t="shared" si="40"/>
        <v>1085323</v>
      </c>
      <c r="O364" s="4">
        <f t="shared" si="36"/>
        <v>0.90997530802091064</v>
      </c>
      <c r="P364" s="4">
        <f t="shared" si="37"/>
        <v>100</v>
      </c>
      <c r="Q364" s="4">
        <f t="shared" si="38"/>
        <v>8.384373205220111E-4</v>
      </c>
    </row>
    <row r="365" spans="1:17">
      <c r="A365" s="1" t="s">
        <v>387</v>
      </c>
      <c r="B365" s="1" t="s">
        <v>14</v>
      </c>
      <c r="C365" s="1" t="s">
        <v>29</v>
      </c>
      <c r="D365" s="1" t="s">
        <v>392</v>
      </c>
      <c r="E365" s="1">
        <v>36220</v>
      </c>
      <c r="F365" s="1">
        <v>334396</v>
      </c>
      <c r="G365" s="1">
        <f t="shared" si="35"/>
        <v>370616</v>
      </c>
      <c r="H365" s="1">
        <v>70796</v>
      </c>
      <c r="I365" s="1">
        <v>10</v>
      </c>
      <c r="J365" s="1">
        <v>47</v>
      </c>
      <c r="K365" s="1">
        <f t="shared" si="41"/>
        <v>3327412</v>
      </c>
      <c r="L365" s="1">
        <v>30</v>
      </c>
      <c r="M365" s="1">
        <f t="shared" si="39"/>
        <v>1203532</v>
      </c>
      <c r="N365" s="1">
        <f t="shared" si="40"/>
        <v>832916</v>
      </c>
      <c r="O365" s="4">
        <f t="shared" si="36"/>
        <v>0.69205970427043073</v>
      </c>
      <c r="P365" s="4">
        <f t="shared" si="37"/>
        <v>176.47058823529412</v>
      </c>
      <c r="Q365" s="4">
        <f t="shared" si="38"/>
        <v>3.0053386836376139E-4</v>
      </c>
    </row>
    <row r="366" spans="1:17">
      <c r="A366" s="1" t="s">
        <v>388</v>
      </c>
      <c r="B366" s="1" t="s">
        <v>14</v>
      </c>
      <c r="C366" s="1" t="s">
        <v>15</v>
      </c>
      <c r="D366" s="1" t="s">
        <v>392</v>
      </c>
      <c r="E366" s="1">
        <v>13885</v>
      </c>
      <c r="F366" s="1">
        <v>256349</v>
      </c>
      <c r="G366" s="1">
        <f t="shared" si="35"/>
        <v>270234</v>
      </c>
      <c r="H366" s="1">
        <v>50204</v>
      </c>
      <c r="I366" s="1">
        <v>20</v>
      </c>
      <c r="J366" s="1">
        <v>117</v>
      </c>
      <c r="K366" s="1">
        <f t="shared" si="41"/>
        <v>5873868</v>
      </c>
      <c r="L366" s="1">
        <v>14</v>
      </c>
      <c r="M366" s="1">
        <f t="shared" si="39"/>
        <v>5171012</v>
      </c>
      <c r="N366" s="1">
        <f t="shared" si="40"/>
        <v>4900778</v>
      </c>
      <c r="O366" s="4">
        <f t="shared" si="36"/>
        <v>0.94774059700499635</v>
      </c>
      <c r="P366" s="4">
        <f t="shared" si="37"/>
        <v>13.592233009708737</v>
      </c>
      <c r="Q366" s="4">
        <f t="shared" si="38"/>
        <v>3.4049113803715029E-4</v>
      </c>
    </row>
    <row r="367" spans="1:17">
      <c r="A367" s="1" t="s">
        <v>13</v>
      </c>
      <c r="B367" s="1" t="s">
        <v>17</v>
      </c>
      <c r="C367" s="1" t="s">
        <v>21</v>
      </c>
      <c r="D367" s="1" t="s">
        <v>392</v>
      </c>
      <c r="E367" s="1">
        <v>29807</v>
      </c>
      <c r="F367" s="1">
        <v>235597</v>
      </c>
      <c r="G367" s="1">
        <f t="shared" si="35"/>
        <v>265404</v>
      </c>
      <c r="H367" s="1">
        <v>54202</v>
      </c>
      <c r="I367" s="1">
        <v>15</v>
      </c>
      <c r="J367" s="1">
        <v>22</v>
      </c>
      <c r="K367" s="1">
        <f t="shared" si="41"/>
        <v>1192444</v>
      </c>
      <c r="L367" s="1">
        <v>11</v>
      </c>
      <c r="M367" s="1">
        <f t="shared" si="39"/>
        <v>596222</v>
      </c>
      <c r="N367" s="1">
        <f t="shared" si="40"/>
        <v>330818</v>
      </c>
      <c r="O367" s="4">
        <f t="shared" si="36"/>
        <v>0.55485708343536466</v>
      </c>
      <c r="P367" s="4">
        <f t="shared" si="37"/>
        <v>100</v>
      </c>
      <c r="Q367" s="4">
        <f t="shared" si="38"/>
        <v>1.2579207073875167E-3</v>
      </c>
    </row>
    <row r="368" spans="1:17">
      <c r="A368" s="1" t="s">
        <v>16</v>
      </c>
      <c r="B368" s="1" t="s">
        <v>26</v>
      </c>
      <c r="C368" s="1" t="s">
        <v>15</v>
      </c>
      <c r="D368" s="1" t="s">
        <v>392</v>
      </c>
      <c r="E368" s="1">
        <v>40947</v>
      </c>
      <c r="F368" s="1">
        <v>214853</v>
      </c>
      <c r="G368" s="1">
        <f t="shared" si="35"/>
        <v>255800</v>
      </c>
      <c r="H368" s="1">
        <v>76661</v>
      </c>
      <c r="I368" s="1">
        <v>15</v>
      </c>
      <c r="J368" s="1">
        <v>76</v>
      </c>
      <c r="K368" s="1">
        <f t="shared" si="41"/>
        <v>5826236</v>
      </c>
      <c r="L368" s="1">
        <v>2</v>
      </c>
      <c r="M368" s="1">
        <f t="shared" si="39"/>
        <v>5672914</v>
      </c>
      <c r="N368" s="1">
        <f t="shared" si="40"/>
        <v>5417114</v>
      </c>
      <c r="O368" s="4">
        <f t="shared" si="36"/>
        <v>0.95490853554275634</v>
      </c>
      <c r="P368" s="4">
        <f t="shared" si="37"/>
        <v>2.7027027027027026</v>
      </c>
      <c r="Q368" s="4">
        <f t="shared" si="38"/>
        <v>2.5745610030215047E-4</v>
      </c>
    </row>
    <row r="369" spans="1:17">
      <c r="A369" s="1" t="s">
        <v>19</v>
      </c>
      <c r="B369" s="1" t="s">
        <v>17</v>
      </c>
      <c r="C369" s="1" t="s">
        <v>29</v>
      </c>
      <c r="D369" s="1" t="s">
        <v>391</v>
      </c>
      <c r="E369" s="1">
        <v>47573</v>
      </c>
      <c r="F369" s="1">
        <v>339632</v>
      </c>
      <c r="G369" s="1">
        <f t="shared" si="35"/>
        <v>387205</v>
      </c>
      <c r="H369" s="1">
        <v>55567</v>
      </c>
      <c r="I369" s="1">
        <v>0</v>
      </c>
      <c r="J369" s="1">
        <v>32</v>
      </c>
      <c r="K369" s="1">
        <f t="shared" si="41"/>
        <v>1778144</v>
      </c>
      <c r="L369" s="1">
        <v>15</v>
      </c>
      <c r="M369" s="1">
        <f t="shared" si="39"/>
        <v>944639</v>
      </c>
      <c r="N369" s="1">
        <f t="shared" si="40"/>
        <v>557434</v>
      </c>
      <c r="O369" s="4">
        <f t="shared" si="36"/>
        <v>0.59010267414324413</v>
      </c>
      <c r="P369" s="4">
        <f t="shared" si="37"/>
        <v>88.235294117647058</v>
      </c>
      <c r="Q369" s="4">
        <f t="shared" si="38"/>
        <v>0</v>
      </c>
    </row>
    <row r="370" spans="1:17">
      <c r="A370" s="1" t="s">
        <v>389</v>
      </c>
      <c r="B370" s="1" t="s">
        <v>14</v>
      </c>
      <c r="C370" s="1" t="s">
        <v>15</v>
      </c>
      <c r="D370" s="1" t="s">
        <v>391</v>
      </c>
      <c r="E370" s="1">
        <v>31776</v>
      </c>
      <c r="F370" s="1">
        <v>170397</v>
      </c>
      <c r="G370" s="1">
        <f t="shared" si="35"/>
        <v>202173</v>
      </c>
      <c r="H370" s="1">
        <v>28680</v>
      </c>
      <c r="I370" s="1">
        <v>5</v>
      </c>
      <c r="J370" s="1">
        <v>75</v>
      </c>
      <c r="K370" s="1">
        <f t="shared" si="41"/>
        <v>2151000</v>
      </c>
      <c r="L370" s="1">
        <v>65</v>
      </c>
      <c r="M370" s="1">
        <f t="shared" si="39"/>
        <v>286800</v>
      </c>
      <c r="N370" s="1">
        <f t="shared" si="40"/>
        <v>84627</v>
      </c>
      <c r="O370" s="4">
        <f t="shared" si="36"/>
        <v>0.2950732217573222</v>
      </c>
      <c r="P370" s="4">
        <f t="shared" si="37"/>
        <v>650</v>
      </c>
      <c r="Q370" s="4">
        <f t="shared" si="38"/>
        <v>2.3245002324500234E-4</v>
      </c>
    </row>
    <row r="371" spans="1:17">
      <c r="A371" s="1" t="s">
        <v>23</v>
      </c>
      <c r="B371" s="1" t="s">
        <v>26</v>
      </c>
      <c r="C371" s="1" t="s">
        <v>18</v>
      </c>
      <c r="D371" s="1" t="s">
        <v>391</v>
      </c>
      <c r="E371" s="1">
        <v>18241</v>
      </c>
      <c r="F371" s="1">
        <v>385250</v>
      </c>
      <c r="G371" s="1">
        <f t="shared" si="35"/>
        <v>403491</v>
      </c>
      <c r="H371" s="1">
        <v>62125</v>
      </c>
      <c r="I371" s="1">
        <v>10</v>
      </c>
      <c r="J371" s="1">
        <v>38</v>
      </c>
      <c r="K371" s="1">
        <f t="shared" si="41"/>
        <v>2360750</v>
      </c>
      <c r="L371" s="1">
        <v>16</v>
      </c>
      <c r="M371" s="1">
        <f t="shared" si="39"/>
        <v>1366750</v>
      </c>
      <c r="N371" s="1">
        <f t="shared" si="40"/>
        <v>963259</v>
      </c>
      <c r="O371" s="4">
        <f t="shared" si="36"/>
        <v>0.7047806841046278</v>
      </c>
      <c r="P371" s="4">
        <f t="shared" si="37"/>
        <v>72.727272727272734</v>
      </c>
      <c r="Q371" s="4">
        <f t="shared" si="38"/>
        <v>4.2359419675950437E-4</v>
      </c>
    </row>
    <row r="372" spans="1:17">
      <c r="A372" s="1" t="s">
        <v>24</v>
      </c>
      <c r="B372" s="1" t="s">
        <v>20</v>
      </c>
      <c r="C372" s="1" t="s">
        <v>29</v>
      </c>
      <c r="D372" s="1" t="s">
        <v>392</v>
      </c>
      <c r="E372" s="1">
        <v>19090</v>
      </c>
      <c r="F372" s="1">
        <v>255377</v>
      </c>
      <c r="G372" s="1">
        <f t="shared" si="35"/>
        <v>274467</v>
      </c>
      <c r="H372" s="1">
        <v>16423</v>
      </c>
      <c r="I372" s="1">
        <v>5</v>
      </c>
      <c r="J372" s="1">
        <v>146</v>
      </c>
      <c r="K372" s="1">
        <f t="shared" si="41"/>
        <v>2397758</v>
      </c>
      <c r="L372" s="1">
        <v>27</v>
      </c>
      <c r="M372" s="1">
        <f t="shared" si="39"/>
        <v>1954337</v>
      </c>
      <c r="N372" s="1">
        <f t="shared" si="40"/>
        <v>1679870</v>
      </c>
      <c r="O372" s="4">
        <f t="shared" si="36"/>
        <v>0.85956004517132922</v>
      </c>
      <c r="P372" s="4">
        <f t="shared" si="37"/>
        <v>22.689075630252102</v>
      </c>
      <c r="Q372" s="4">
        <f t="shared" si="38"/>
        <v>2.0852813336458476E-4</v>
      </c>
    </row>
    <row r="373" spans="1:17">
      <c r="A373" s="1" t="s">
        <v>25</v>
      </c>
      <c r="B373" s="1" t="s">
        <v>26</v>
      </c>
      <c r="C373" s="1" t="s">
        <v>38</v>
      </c>
      <c r="D373" s="1" t="s">
        <v>392</v>
      </c>
      <c r="E373" s="1">
        <v>11566</v>
      </c>
      <c r="F373" s="1">
        <v>342559</v>
      </c>
      <c r="G373" s="1">
        <f t="shared" si="35"/>
        <v>354125</v>
      </c>
      <c r="H373" s="1">
        <v>31273</v>
      </c>
      <c r="I373" s="1">
        <v>5</v>
      </c>
      <c r="J373" s="1">
        <v>98</v>
      </c>
      <c r="K373" s="1">
        <f t="shared" si="41"/>
        <v>3064754</v>
      </c>
      <c r="L373" s="1">
        <v>3</v>
      </c>
      <c r="M373" s="1">
        <f t="shared" si="39"/>
        <v>2970935</v>
      </c>
      <c r="N373" s="1">
        <f t="shared" si="40"/>
        <v>2616810</v>
      </c>
      <c r="O373" s="4">
        <f t="shared" si="36"/>
        <v>0.88080351808437407</v>
      </c>
      <c r="P373" s="4">
        <f t="shared" si="37"/>
        <v>3.1578947368421053</v>
      </c>
      <c r="Q373" s="4">
        <f t="shared" si="38"/>
        <v>1.6314523123226205E-4</v>
      </c>
    </row>
    <row r="374" spans="1:17">
      <c r="A374" s="1" t="s">
        <v>27</v>
      </c>
      <c r="B374" s="1" t="s">
        <v>17</v>
      </c>
      <c r="C374" s="1" t="s">
        <v>15</v>
      </c>
      <c r="D374" s="1" t="s">
        <v>392</v>
      </c>
      <c r="E374" s="1">
        <v>19418</v>
      </c>
      <c r="F374" s="1">
        <v>338697</v>
      </c>
      <c r="G374" s="1">
        <f t="shared" si="35"/>
        <v>358115</v>
      </c>
      <c r="H374" s="1">
        <v>18783</v>
      </c>
      <c r="I374" s="1">
        <v>15</v>
      </c>
      <c r="J374" s="1">
        <v>99</v>
      </c>
      <c r="K374" s="1">
        <f t="shared" si="41"/>
        <v>1859517</v>
      </c>
      <c r="L374" s="1">
        <v>3</v>
      </c>
      <c r="M374" s="1">
        <f t="shared" si="39"/>
        <v>1803168</v>
      </c>
      <c r="N374" s="1">
        <f t="shared" si="40"/>
        <v>1445053</v>
      </c>
      <c r="O374" s="4">
        <f t="shared" si="36"/>
        <v>0.80139676391772707</v>
      </c>
      <c r="P374" s="4">
        <f t="shared" si="37"/>
        <v>3.125</v>
      </c>
      <c r="Q374" s="4">
        <f t="shared" si="38"/>
        <v>8.0666108457196149E-4</v>
      </c>
    </row>
    <row r="375" spans="1:17">
      <c r="A375" s="1" t="s">
        <v>28</v>
      </c>
      <c r="B375" s="1" t="s">
        <v>17</v>
      </c>
      <c r="C375" s="1" t="s">
        <v>21</v>
      </c>
      <c r="D375" s="1" t="s">
        <v>391</v>
      </c>
      <c r="E375" s="1">
        <v>42439</v>
      </c>
      <c r="F375" s="1">
        <v>378310</v>
      </c>
      <c r="G375" s="1">
        <f t="shared" si="35"/>
        <v>420749</v>
      </c>
      <c r="H375" s="1">
        <v>65837</v>
      </c>
      <c r="I375" s="1">
        <v>5</v>
      </c>
      <c r="J375" s="1">
        <v>29</v>
      </c>
      <c r="K375" s="1">
        <f t="shared" si="41"/>
        <v>1909273</v>
      </c>
      <c r="L375" s="1">
        <v>36</v>
      </c>
      <c r="M375" s="1">
        <f t="shared" si="39"/>
        <v>-460859</v>
      </c>
      <c r="N375" s="1">
        <f t="shared" si="40"/>
        <v>-881608</v>
      </c>
      <c r="O375" s="4">
        <f t="shared" si="36"/>
        <v>-1.9129668727311391</v>
      </c>
      <c r="P375" s="4">
        <f t="shared" si="37"/>
        <v>-514.28571428571433</v>
      </c>
      <c r="Q375" s="4">
        <f t="shared" si="38"/>
        <v>2.6187978356159648E-4</v>
      </c>
    </row>
    <row r="376" spans="1:17">
      <c r="A376" s="1" t="s">
        <v>30</v>
      </c>
      <c r="B376" s="1" t="s">
        <v>17</v>
      </c>
      <c r="C376" s="1" t="s">
        <v>15</v>
      </c>
      <c r="D376" s="1" t="s">
        <v>392</v>
      </c>
      <c r="E376" s="1">
        <v>27937</v>
      </c>
      <c r="F376" s="1">
        <v>117182</v>
      </c>
      <c r="G376" s="1">
        <f t="shared" si="35"/>
        <v>145119</v>
      </c>
      <c r="H376" s="1">
        <v>31614</v>
      </c>
      <c r="I376" s="1">
        <v>10</v>
      </c>
      <c r="J376" s="1">
        <v>129</v>
      </c>
      <c r="K376" s="1">
        <f t="shared" si="41"/>
        <v>4078206</v>
      </c>
      <c r="L376" s="1">
        <v>15</v>
      </c>
      <c r="M376" s="1">
        <f t="shared" si="39"/>
        <v>3603996</v>
      </c>
      <c r="N376" s="1">
        <f t="shared" si="40"/>
        <v>3458877</v>
      </c>
      <c r="O376" s="4">
        <f t="shared" si="36"/>
        <v>0.95973386207975808</v>
      </c>
      <c r="P376" s="4">
        <f t="shared" si="37"/>
        <v>13.157894736842104</v>
      </c>
      <c r="Q376" s="4">
        <f t="shared" si="38"/>
        <v>2.4520585767369278E-4</v>
      </c>
    </row>
    <row r="377" spans="1:17">
      <c r="A377" s="1" t="s">
        <v>32</v>
      </c>
      <c r="B377" s="1" t="s">
        <v>26</v>
      </c>
      <c r="C377" s="1" t="s">
        <v>31</v>
      </c>
      <c r="D377" s="1" t="s">
        <v>391</v>
      </c>
      <c r="E377" s="1">
        <v>25498</v>
      </c>
      <c r="F377" s="1">
        <v>300593</v>
      </c>
      <c r="G377" s="1">
        <f t="shared" si="35"/>
        <v>326091</v>
      </c>
      <c r="H377" s="1">
        <v>26036</v>
      </c>
      <c r="I377" s="1">
        <v>20</v>
      </c>
      <c r="J377" s="1">
        <v>105</v>
      </c>
      <c r="K377" s="1">
        <f t="shared" si="41"/>
        <v>2733780</v>
      </c>
      <c r="L377" s="1">
        <v>22</v>
      </c>
      <c r="M377" s="1">
        <f t="shared" si="39"/>
        <v>2160988</v>
      </c>
      <c r="N377" s="1">
        <f t="shared" si="40"/>
        <v>1834897</v>
      </c>
      <c r="O377" s="4">
        <f t="shared" si="36"/>
        <v>0.8491009667800099</v>
      </c>
      <c r="P377" s="4">
        <f t="shared" si="37"/>
        <v>26.506024096385545</v>
      </c>
      <c r="Q377" s="4">
        <f t="shared" si="38"/>
        <v>7.3158776492621938E-4</v>
      </c>
    </row>
    <row r="378" spans="1:17">
      <c r="A378" s="1" t="s">
        <v>33</v>
      </c>
      <c r="B378" s="1" t="s">
        <v>26</v>
      </c>
      <c r="C378" s="1" t="s">
        <v>18</v>
      </c>
      <c r="D378" s="1" t="s">
        <v>392</v>
      </c>
      <c r="E378" s="1">
        <v>22912</v>
      </c>
      <c r="F378" s="1">
        <v>84704</v>
      </c>
      <c r="G378" s="1">
        <f t="shared" si="35"/>
        <v>107616</v>
      </c>
      <c r="H378" s="1">
        <v>11899</v>
      </c>
      <c r="I378" s="1">
        <v>0</v>
      </c>
      <c r="J378" s="1">
        <v>51</v>
      </c>
      <c r="K378" s="1">
        <f t="shared" si="41"/>
        <v>606849</v>
      </c>
      <c r="L378" s="1">
        <v>19</v>
      </c>
      <c r="M378" s="1">
        <f t="shared" si="39"/>
        <v>380768</v>
      </c>
      <c r="N378" s="1">
        <f t="shared" si="40"/>
        <v>273152</v>
      </c>
      <c r="O378" s="4">
        <f t="shared" si="36"/>
        <v>0.71737120766450957</v>
      </c>
      <c r="P378" s="4">
        <f t="shared" si="37"/>
        <v>59.375</v>
      </c>
      <c r="Q378" s="4">
        <f t="shared" si="38"/>
        <v>0</v>
      </c>
    </row>
    <row r="379" spans="1:17">
      <c r="A379" s="1" t="s">
        <v>34</v>
      </c>
      <c r="B379" s="1" t="s">
        <v>17</v>
      </c>
      <c r="C379" s="1" t="s">
        <v>15</v>
      </c>
      <c r="D379" s="1" t="s">
        <v>391</v>
      </c>
      <c r="E379" s="1">
        <v>26711</v>
      </c>
      <c r="F379" s="1">
        <v>330842</v>
      </c>
      <c r="G379" s="1">
        <f t="shared" si="35"/>
        <v>357553</v>
      </c>
      <c r="H379" s="1">
        <v>43129</v>
      </c>
      <c r="I379" s="1">
        <v>10</v>
      </c>
      <c r="J379" s="1">
        <v>52</v>
      </c>
      <c r="K379" s="1">
        <f t="shared" si="41"/>
        <v>2242708</v>
      </c>
      <c r="L379" s="1">
        <v>26</v>
      </c>
      <c r="M379" s="1">
        <f t="shared" si="39"/>
        <v>1121354</v>
      </c>
      <c r="N379" s="1">
        <f t="shared" si="40"/>
        <v>763801</v>
      </c>
      <c r="O379" s="4">
        <f t="shared" si="36"/>
        <v>0.68114172687661523</v>
      </c>
      <c r="P379" s="4">
        <f t="shared" si="37"/>
        <v>100</v>
      </c>
      <c r="Q379" s="4">
        <f t="shared" si="38"/>
        <v>4.4588952284470382E-4</v>
      </c>
    </row>
    <row r="380" spans="1:17">
      <c r="A380" s="1" t="s">
        <v>35</v>
      </c>
      <c r="B380" s="1" t="s">
        <v>26</v>
      </c>
      <c r="C380" s="1" t="s">
        <v>29</v>
      </c>
      <c r="D380" s="1" t="s">
        <v>391</v>
      </c>
      <c r="E380" s="1">
        <v>38204</v>
      </c>
      <c r="F380" s="1">
        <v>383714</v>
      </c>
      <c r="G380" s="1">
        <f t="shared" si="35"/>
        <v>421918</v>
      </c>
      <c r="H380" s="1">
        <v>16020</v>
      </c>
      <c r="I380" s="1">
        <v>15</v>
      </c>
      <c r="J380" s="1">
        <v>48</v>
      </c>
      <c r="K380" s="1">
        <f t="shared" si="41"/>
        <v>768960</v>
      </c>
      <c r="L380" s="1">
        <v>38</v>
      </c>
      <c r="M380" s="1">
        <f t="shared" si="39"/>
        <v>160200</v>
      </c>
      <c r="N380" s="1">
        <f t="shared" si="40"/>
        <v>-261718</v>
      </c>
      <c r="O380" s="4">
        <f t="shared" si="36"/>
        <v>-1.6336953807740324</v>
      </c>
      <c r="P380" s="4">
        <f t="shared" si="37"/>
        <v>380</v>
      </c>
      <c r="Q380" s="4">
        <f t="shared" si="38"/>
        <v>1.9506866416978776E-3</v>
      </c>
    </row>
    <row r="381" spans="1:17">
      <c r="A381" s="1" t="s">
        <v>36</v>
      </c>
      <c r="B381" s="1" t="s">
        <v>26</v>
      </c>
      <c r="C381" s="1" t="s">
        <v>29</v>
      </c>
      <c r="D381" s="1" t="s">
        <v>392</v>
      </c>
      <c r="E381" s="1">
        <v>44274</v>
      </c>
      <c r="F381" s="1">
        <v>61353</v>
      </c>
      <c r="G381" s="1">
        <f t="shared" si="35"/>
        <v>105627</v>
      </c>
      <c r="H381" s="1">
        <v>46258</v>
      </c>
      <c r="I381" s="1">
        <v>20</v>
      </c>
      <c r="J381" s="1">
        <v>84</v>
      </c>
      <c r="K381" s="1">
        <f t="shared" si="41"/>
        <v>3885672</v>
      </c>
      <c r="L381" s="1">
        <v>10</v>
      </c>
      <c r="M381" s="1">
        <f t="shared" si="39"/>
        <v>3423092</v>
      </c>
      <c r="N381" s="1">
        <f t="shared" si="40"/>
        <v>3317465</v>
      </c>
      <c r="O381" s="4">
        <f t="shared" si="36"/>
        <v>0.96914281006762304</v>
      </c>
      <c r="P381" s="4">
        <f t="shared" si="37"/>
        <v>13.513513513513514</v>
      </c>
      <c r="Q381" s="4">
        <f t="shared" si="38"/>
        <v>5.147114836249689E-4</v>
      </c>
    </row>
    <row r="382" spans="1:17">
      <c r="A382" s="1" t="s">
        <v>37</v>
      </c>
      <c r="B382" s="1" t="s">
        <v>14</v>
      </c>
      <c r="C382" s="1" t="s">
        <v>21</v>
      </c>
      <c r="D382" s="1" t="s">
        <v>391</v>
      </c>
      <c r="E382" s="1">
        <v>35102</v>
      </c>
      <c r="F382" s="1">
        <v>217648</v>
      </c>
      <c r="G382" s="1">
        <f t="shared" si="35"/>
        <v>252750</v>
      </c>
      <c r="H382" s="1">
        <v>39251</v>
      </c>
      <c r="I382" s="1">
        <v>15</v>
      </c>
      <c r="J382" s="1">
        <v>61</v>
      </c>
      <c r="K382" s="1">
        <f t="shared" si="41"/>
        <v>2394311</v>
      </c>
      <c r="L382" s="1">
        <v>95</v>
      </c>
      <c r="M382" s="1">
        <f t="shared" si="39"/>
        <v>-1334534</v>
      </c>
      <c r="N382" s="1">
        <f t="shared" si="40"/>
        <v>-1587284</v>
      </c>
      <c r="O382" s="4">
        <f t="shared" si="36"/>
        <v>-1.1893919525467316</v>
      </c>
      <c r="P382" s="4">
        <f t="shared" si="37"/>
        <v>-279.41176470588232</v>
      </c>
      <c r="Q382" s="4">
        <f t="shared" si="38"/>
        <v>6.2648503055785158E-4</v>
      </c>
    </row>
    <row r="383" spans="1:17">
      <c r="A383" s="1" t="s">
        <v>39</v>
      </c>
      <c r="B383" s="1" t="s">
        <v>14</v>
      </c>
      <c r="C383" s="1" t="s">
        <v>21</v>
      </c>
      <c r="D383" s="1" t="s">
        <v>392</v>
      </c>
      <c r="E383" s="1">
        <v>38713</v>
      </c>
      <c r="F383" s="1">
        <v>357360</v>
      </c>
      <c r="G383" s="1">
        <f t="shared" si="35"/>
        <v>396073</v>
      </c>
      <c r="H383" s="1">
        <v>34754</v>
      </c>
      <c r="I383" s="1">
        <v>0</v>
      </c>
      <c r="J383" s="1">
        <v>39</v>
      </c>
      <c r="K383" s="1">
        <f t="shared" si="41"/>
        <v>1355406</v>
      </c>
      <c r="L383" s="1">
        <v>23</v>
      </c>
      <c r="M383" s="1">
        <f t="shared" si="39"/>
        <v>556064</v>
      </c>
      <c r="N383" s="1">
        <f t="shared" si="40"/>
        <v>159991</v>
      </c>
      <c r="O383" s="4">
        <f t="shared" si="36"/>
        <v>0.28772047821833457</v>
      </c>
      <c r="P383" s="4">
        <f t="shared" si="37"/>
        <v>143.75</v>
      </c>
      <c r="Q383" s="4">
        <f t="shared" si="38"/>
        <v>0</v>
      </c>
    </row>
    <row r="384" spans="1:17">
      <c r="A384" s="1" t="s">
        <v>40</v>
      </c>
      <c r="B384" s="1" t="s">
        <v>20</v>
      </c>
      <c r="C384" s="1" t="s">
        <v>18</v>
      </c>
      <c r="D384" s="1" t="s">
        <v>392</v>
      </c>
      <c r="E384" s="1">
        <v>34495</v>
      </c>
      <c r="F384" s="1">
        <v>312229</v>
      </c>
      <c r="G384" s="1">
        <f t="shared" si="35"/>
        <v>346724</v>
      </c>
      <c r="H384" s="1">
        <v>53686</v>
      </c>
      <c r="I384" s="1">
        <v>15</v>
      </c>
      <c r="J384" s="1">
        <v>89</v>
      </c>
      <c r="K384" s="1">
        <f t="shared" si="41"/>
        <v>4778054</v>
      </c>
      <c r="L384" s="1">
        <v>2</v>
      </c>
      <c r="M384" s="1">
        <f t="shared" si="39"/>
        <v>4670682</v>
      </c>
      <c r="N384" s="1">
        <f t="shared" si="40"/>
        <v>4323958</v>
      </c>
      <c r="O384" s="4">
        <f t="shared" si="36"/>
        <v>0.92576587316370496</v>
      </c>
      <c r="P384" s="4">
        <f t="shared" si="37"/>
        <v>2.2988505747126435</v>
      </c>
      <c r="Q384" s="4">
        <f t="shared" si="38"/>
        <v>3.1393533852903298E-4</v>
      </c>
    </row>
    <row r="385" spans="1:17">
      <c r="A385" s="1" t="s">
        <v>41</v>
      </c>
      <c r="B385" s="1" t="s">
        <v>26</v>
      </c>
      <c r="C385" s="1" t="s">
        <v>18</v>
      </c>
      <c r="D385" s="1" t="s">
        <v>391</v>
      </c>
      <c r="E385" s="1">
        <v>46313</v>
      </c>
      <c r="F385" s="1">
        <v>363224</v>
      </c>
      <c r="G385" s="1">
        <f t="shared" si="35"/>
        <v>409537</v>
      </c>
      <c r="H385" s="1">
        <v>23409</v>
      </c>
      <c r="I385" s="1">
        <v>15</v>
      </c>
      <c r="J385" s="1">
        <v>82</v>
      </c>
      <c r="K385" s="1">
        <f t="shared" si="41"/>
        <v>1919538</v>
      </c>
      <c r="L385" s="1">
        <v>23</v>
      </c>
      <c r="M385" s="1">
        <f t="shared" si="39"/>
        <v>1381131</v>
      </c>
      <c r="N385" s="1">
        <f t="shared" si="40"/>
        <v>971594</v>
      </c>
      <c r="O385" s="4">
        <f t="shared" si="36"/>
        <v>0.70347707784417268</v>
      </c>
      <c r="P385" s="4">
        <f t="shared" si="37"/>
        <v>38.983050847457626</v>
      </c>
      <c r="Q385" s="4">
        <f t="shared" si="38"/>
        <v>7.8143803352681747E-4</v>
      </c>
    </row>
    <row r="386" spans="1:17">
      <c r="A386" s="1" t="s">
        <v>42</v>
      </c>
      <c r="B386" s="1" t="s">
        <v>17</v>
      </c>
      <c r="C386" s="1" t="s">
        <v>21</v>
      </c>
      <c r="D386" s="1" t="s">
        <v>391</v>
      </c>
      <c r="E386" s="1">
        <v>33774</v>
      </c>
      <c r="F386" s="1">
        <v>310437</v>
      </c>
      <c r="G386" s="1">
        <f t="shared" si="35"/>
        <v>344211</v>
      </c>
      <c r="H386" s="1">
        <v>76978</v>
      </c>
      <c r="I386" s="1">
        <v>15</v>
      </c>
      <c r="J386" s="1">
        <v>54</v>
      </c>
      <c r="K386" s="1">
        <f t="shared" si="41"/>
        <v>4156812</v>
      </c>
      <c r="L386" s="1">
        <v>18</v>
      </c>
      <c r="M386" s="1">
        <f t="shared" si="39"/>
        <v>2771208</v>
      </c>
      <c r="N386" s="1">
        <f t="shared" si="40"/>
        <v>2426997</v>
      </c>
      <c r="O386" s="4">
        <f t="shared" si="36"/>
        <v>0.87579026908120938</v>
      </c>
      <c r="P386" s="4">
        <f t="shared" si="37"/>
        <v>50</v>
      </c>
      <c r="Q386" s="4">
        <f t="shared" si="38"/>
        <v>3.6085346173942914E-4</v>
      </c>
    </row>
    <row r="387" spans="1:17">
      <c r="A387" s="1" t="s">
        <v>43</v>
      </c>
      <c r="B387" s="1" t="s">
        <v>14</v>
      </c>
      <c r="C387" s="1" t="s">
        <v>29</v>
      </c>
      <c r="D387" s="1" t="s">
        <v>392</v>
      </c>
      <c r="E387" s="1">
        <v>6748</v>
      </c>
      <c r="F387" s="1">
        <v>272634</v>
      </c>
      <c r="G387" s="1">
        <f t="shared" ref="G387:G450" si="42">E387+F387</f>
        <v>279382</v>
      </c>
      <c r="H387" s="1">
        <v>40278</v>
      </c>
      <c r="I387" s="1">
        <v>15</v>
      </c>
      <c r="J387" s="1">
        <v>49</v>
      </c>
      <c r="K387" s="1">
        <f t="shared" si="41"/>
        <v>1973622</v>
      </c>
      <c r="L387" s="1">
        <v>38</v>
      </c>
      <c r="M387" s="1">
        <f t="shared" si="39"/>
        <v>443058</v>
      </c>
      <c r="N387" s="1">
        <f t="shared" si="40"/>
        <v>163676</v>
      </c>
      <c r="O387" s="4">
        <f t="shared" ref="O387:O450" si="43">SUM(N387/ABS(M387))</f>
        <v>0.36942341634729536</v>
      </c>
      <c r="P387" s="4">
        <f t="shared" ref="P387:P450" si="44">SUM(H387*L387)/M387*100</f>
        <v>345.45454545454544</v>
      </c>
      <c r="Q387" s="4">
        <f t="shared" ref="Q387:Q450" si="45">I387/K387*100</f>
        <v>7.6002395595509164E-4</v>
      </c>
    </row>
    <row r="388" spans="1:17">
      <c r="A388" s="1" t="s">
        <v>44</v>
      </c>
      <c r="B388" s="1" t="s">
        <v>26</v>
      </c>
      <c r="C388" s="1" t="s">
        <v>21</v>
      </c>
      <c r="D388" s="1" t="s">
        <v>392</v>
      </c>
      <c r="E388" s="1">
        <v>16847</v>
      </c>
      <c r="F388" s="1">
        <v>72468</v>
      </c>
      <c r="G388" s="1">
        <f t="shared" si="42"/>
        <v>89315</v>
      </c>
      <c r="H388" s="1">
        <v>57478</v>
      </c>
      <c r="I388" s="1">
        <v>0</v>
      </c>
      <c r="J388" s="1">
        <v>149</v>
      </c>
      <c r="K388" s="1">
        <f t="shared" si="41"/>
        <v>8564222</v>
      </c>
      <c r="L388" s="1">
        <v>85</v>
      </c>
      <c r="M388" s="1">
        <f t="shared" ref="M388:M451" si="46">K388-H388*L388</f>
        <v>3678592</v>
      </c>
      <c r="N388" s="1">
        <f t="shared" ref="N388:N451" si="47">M388-G388</f>
        <v>3589277</v>
      </c>
      <c r="O388" s="4">
        <f t="shared" si="43"/>
        <v>0.9757203299523296</v>
      </c>
      <c r="P388" s="4">
        <f t="shared" si="44"/>
        <v>132.8125</v>
      </c>
      <c r="Q388" s="4">
        <f t="shared" si="45"/>
        <v>0</v>
      </c>
    </row>
    <row r="389" spans="1:17">
      <c r="A389" s="1" t="s">
        <v>45</v>
      </c>
      <c r="B389" s="1" t="s">
        <v>20</v>
      </c>
      <c r="C389" s="1" t="s">
        <v>31</v>
      </c>
      <c r="D389" s="1" t="s">
        <v>391</v>
      </c>
      <c r="E389" s="1">
        <v>12214</v>
      </c>
      <c r="F389" s="1">
        <v>289053</v>
      </c>
      <c r="G389" s="1">
        <f t="shared" si="42"/>
        <v>301267</v>
      </c>
      <c r="H389" s="1">
        <v>56701</v>
      </c>
      <c r="I389" s="1">
        <v>20</v>
      </c>
      <c r="J389" s="1">
        <v>11</v>
      </c>
      <c r="K389" s="1">
        <f t="shared" ref="K389:K452" si="48">H389*J389</f>
        <v>623711</v>
      </c>
      <c r="L389" s="1">
        <v>32</v>
      </c>
      <c r="M389" s="1">
        <f t="shared" si="46"/>
        <v>-1190721</v>
      </c>
      <c r="N389" s="1">
        <f t="shared" si="47"/>
        <v>-1491988</v>
      </c>
      <c r="O389" s="4">
        <f t="shared" si="43"/>
        <v>-1.2530122505607946</v>
      </c>
      <c r="P389" s="4">
        <f t="shared" si="44"/>
        <v>-152.38095238095238</v>
      </c>
      <c r="Q389" s="4">
        <f t="shared" si="45"/>
        <v>3.2066133193097441E-3</v>
      </c>
    </row>
    <row r="390" spans="1:17">
      <c r="A390" s="1" t="s">
        <v>46</v>
      </c>
      <c r="B390" s="1" t="s">
        <v>17</v>
      </c>
      <c r="C390" s="1" t="s">
        <v>18</v>
      </c>
      <c r="D390" s="1" t="s">
        <v>391</v>
      </c>
      <c r="E390" s="1">
        <v>48714</v>
      </c>
      <c r="F390" s="1">
        <v>159750</v>
      </c>
      <c r="G390" s="1">
        <f t="shared" si="42"/>
        <v>208464</v>
      </c>
      <c r="H390" s="1">
        <v>46868</v>
      </c>
      <c r="I390" s="1">
        <v>0</v>
      </c>
      <c r="J390" s="1">
        <v>91</v>
      </c>
      <c r="K390" s="1">
        <f t="shared" si="48"/>
        <v>4264988</v>
      </c>
      <c r="L390" s="1">
        <v>29</v>
      </c>
      <c r="M390" s="1">
        <f t="shared" si="46"/>
        <v>2905816</v>
      </c>
      <c r="N390" s="1">
        <f t="shared" si="47"/>
        <v>2697352</v>
      </c>
      <c r="O390" s="4">
        <f t="shared" si="43"/>
        <v>0.92825973840050435</v>
      </c>
      <c r="P390" s="4">
        <f t="shared" si="44"/>
        <v>46.774193548387096</v>
      </c>
      <c r="Q390" s="4">
        <f t="shared" si="45"/>
        <v>0</v>
      </c>
    </row>
    <row r="391" spans="1:17">
      <c r="A391" s="1" t="s">
        <v>47</v>
      </c>
      <c r="B391" s="1" t="s">
        <v>17</v>
      </c>
      <c r="C391" s="1" t="s">
        <v>15</v>
      </c>
      <c r="D391" s="1" t="s">
        <v>391</v>
      </c>
      <c r="E391" s="1">
        <v>8187</v>
      </c>
      <c r="F391" s="1">
        <v>282917</v>
      </c>
      <c r="G391" s="1">
        <f t="shared" si="42"/>
        <v>291104</v>
      </c>
      <c r="H391" s="1">
        <v>10718</v>
      </c>
      <c r="I391" s="1">
        <v>5</v>
      </c>
      <c r="J391" s="1">
        <v>130</v>
      </c>
      <c r="K391" s="1">
        <f t="shared" si="48"/>
        <v>1393340</v>
      </c>
      <c r="L391" s="1">
        <v>26</v>
      </c>
      <c r="M391" s="1">
        <f t="shared" si="46"/>
        <v>1114672</v>
      </c>
      <c r="N391" s="1">
        <f t="shared" si="47"/>
        <v>823568</v>
      </c>
      <c r="O391" s="4">
        <f t="shared" si="43"/>
        <v>0.73884335481648411</v>
      </c>
      <c r="P391" s="4">
        <f t="shared" si="44"/>
        <v>25</v>
      </c>
      <c r="Q391" s="4">
        <f t="shared" si="45"/>
        <v>3.5884995765570501E-4</v>
      </c>
    </row>
    <row r="392" spans="1:17">
      <c r="A392" s="1" t="s">
        <v>48</v>
      </c>
      <c r="B392" s="1" t="s">
        <v>14</v>
      </c>
      <c r="C392" s="1" t="s">
        <v>15</v>
      </c>
      <c r="D392" s="1" t="s">
        <v>392</v>
      </c>
      <c r="E392" s="1">
        <v>31536</v>
      </c>
      <c r="F392" s="1">
        <v>60332</v>
      </c>
      <c r="G392" s="1">
        <f t="shared" si="42"/>
        <v>91868</v>
      </c>
      <c r="H392" s="1">
        <v>29342</v>
      </c>
      <c r="I392" s="1">
        <v>15</v>
      </c>
      <c r="J392" s="1">
        <v>139</v>
      </c>
      <c r="K392" s="1">
        <f t="shared" si="48"/>
        <v>4078538</v>
      </c>
      <c r="L392" s="1">
        <v>37</v>
      </c>
      <c r="M392" s="1">
        <f t="shared" si="46"/>
        <v>2992884</v>
      </c>
      <c r="N392" s="1">
        <f t="shared" si="47"/>
        <v>2901016</v>
      </c>
      <c r="O392" s="4">
        <f t="shared" si="43"/>
        <v>0.96930452366346309</v>
      </c>
      <c r="P392" s="4">
        <f t="shared" si="44"/>
        <v>36.274509803921568</v>
      </c>
      <c r="Q392" s="4">
        <f t="shared" si="45"/>
        <v>3.6777884624343332E-4</v>
      </c>
    </row>
    <row r="393" spans="1:17">
      <c r="A393" s="1" t="s">
        <v>49</v>
      </c>
      <c r="B393" s="1" t="s">
        <v>20</v>
      </c>
      <c r="C393" s="1" t="s">
        <v>21</v>
      </c>
      <c r="D393" s="1" t="s">
        <v>392</v>
      </c>
      <c r="E393" s="1">
        <v>13459</v>
      </c>
      <c r="F393" s="1">
        <v>111823</v>
      </c>
      <c r="G393" s="1">
        <f t="shared" si="42"/>
        <v>125282</v>
      </c>
      <c r="H393" s="1">
        <v>66678</v>
      </c>
      <c r="I393" s="1">
        <v>15</v>
      </c>
      <c r="J393" s="1">
        <v>44</v>
      </c>
      <c r="K393" s="1">
        <f t="shared" si="48"/>
        <v>2933832</v>
      </c>
      <c r="L393" s="1">
        <v>15</v>
      </c>
      <c r="M393" s="1">
        <f t="shared" si="46"/>
        <v>1933662</v>
      </c>
      <c r="N393" s="1">
        <f t="shared" si="47"/>
        <v>1808380</v>
      </c>
      <c r="O393" s="4">
        <f t="shared" si="43"/>
        <v>0.93520997982067189</v>
      </c>
      <c r="P393" s="4">
        <f t="shared" si="44"/>
        <v>51.724137931034484</v>
      </c>
      <c r="Q393" s="4">
        <f t="shared" si="45"/>
        <v>5.1127671932135168E-4</v>
      </c>
    </row>
    <row r="394" spans="1:17">
      <c r="A394" s="1" t="s">
        <v>50</v>
      </c>
      <c r="B394" s="1" t="s">
        <v>20</v>
      </c>
      <c r="C394" s="1" t="s">
        <v>29</v>
      </c>
      <c r="D394" s="1" t="s">
        <v>391</v>
      </c>
      <c r="E394" s="1">
        <v>47416</v>
      </c>
      <c r="F394" s="1">
        <v>125266</v>
      </c>
      <c r="G394" s="1">
        <f t="shared" si="42"/>
        <v>172682</v>
      </c>
      <c r="H394" s="1">
        <v>14340</v>
      </c>
      <c r="I394" s="1">
        <v>10</v>
      </c>
      <c r="J394" s="1">
        <v>95</v>
      </c>
      <c r="K394" s="1">
        <f t="shared" si="48"/>
        <v>1362300</v>
      </c>
      <c r="L394" s="1">
        <v>13</v>
      </c>
      <c r="M394" s="1">
        <f t="shared" si="46"/>
        <v>1175880</v>
      </c>
      <c r="N394" s="1">
        <f t="shared" si="47"/>
        <v>1003198</v>
      </c>
      <c r="O394" s="4">
        <f t="shared" si="43"/>
        <v>0.85314657958295059</v>
      </c>
      <c r="P394" s="4">
        <f t="shared" si="44"/>
        <v>15.853658536585366</v>
      </c>
      <c r="Q394" s="4">
        <f t="shared" si="45"/>
        <v>7.3405270498421793E-4</v>
      </c>
    </row>
    <row r="395" spans="1:17">
      <c r="A395" s="1" t="s">
        <v>51</v>
      </c>
      <c r="B395" s="1" t="s">
        <v>14</v>
      </c>
      <c r="C395" s="1" t="s">
        <v>15</v>
      </c>
      <c r="D395" s="1" t="s">
        <v>392</v>
      </c>
      <c r="E395" s="1">
        <v>47760</v>
      </c>
      <c r="F395" s="1">
        <v>334854</v>
      </c>
      <c r="G395" s="1">
        <f t="shared" si="42"/>
        <v>382614</v>
      </c>
      <c r="H395" s="1">
        <v>46927</v>
      </c>
      <c r="I395" s="1">
        <v>0</v>
      </c>
      <c r="J395" s="1">
        <v>55</v>
      </c>
      <c r="K395" s="1">
        <f t="shared" si="48"/>
        <v>2580985</v>
      </c>
      <c r="L395" s="1">
        <v>38</v>
      </c>
      <c r="M395" s="1">
        <f t="shared" si="46"/>
        <v>797759</v>
      </c>
      <c r="N395" s="1">
        <f t="shared" si="47"/>
        <v>415145</v>
      </c>
      <c r="O395" s="4">
        <f t="shared" si="43"/>
        <v>0.52038898965727742</v>
      </c>
      <c r="P395" s="4">
        <f t="shared" si="44"/>
        <v>223.52941176470588</v>
      </c>
      <c r="Q395" s="4">
        <f t="shared" si="45"/>
        <v>0</v>
      </c>
    </row>
    <row r="396" spans="1:17">
      <c r="A396" s="1" t="s">
        <v>52</v>
      </c>
      <c r="B396" s="1" t="s">
        <v>26</v>
      </c>
      <c r="C396" s="1" t="s">
        <v>21</v>
      </c>
      <c r="D396" s="1" t="s">
        <v>392</v>
      </c>
      <c r="E396" s="1">
        <v>9422</v>
      </c>
      <c r="F396" s="1">
        <v>51212</v>
      </c>
      <c r="G396" s="1">
        <f t="shared" si="42"/>
        <v>60634</v>
      </c>
      <c r="H396" s="1">
        <v>11393</v>
      </c>
      <c r="I396" s="1">
        <v>20</v>
      </c>
      <c r="J396" s="1">
        <v>44</v>
      </c>
      <c r="K396" s="1">
        <f t="shared" si="48"/>
        <v>501292</v>
      </c>
      <c r="L396" s="1">
        <v>29</v>
      </c>
      <c r="M396" s="1">
        <f t="shared" si="46"/>
        <v>170895</v>
      </c>
      <c r="N396" s="1">
        <f t="shared" si="47"/>
        <v>110261</v>
      </c>
      <c r="O396" s="4">
        <f t="shared" si="43"/>
        <v>0.64519734339799295</v>
      </c>
      <c r="P396" s="4">
        <f t="shared" si="44"/>
        <v>193.33333333333334</v>
      </c>
      <c r="Q396" s="4">
        <f t="shared" si="45"/>
        <v>3.9896906393878219E-3</v>
      </c>
    </row>
    <row r="397" spans="1:17">
      <c r="A397" s="1" t="s">
        <v>53</v>
      </c>
      <c r="B397" s="1" t="s">
        <v>17</v>
      </c>
      <c r="C397" s="1" t="s">
        <v>29</v>
      </c>
      <c r="D397" s="1" t="s">
        <v>391</v>
      </c>
      <c r="E397" s="1">
        <v>37301</v>
      </c>
      <c r="F397" s="1">
        <v>339601</v>
      </c>
      <c r="G397" s="1">
        <f t="shared" si="42"/>
        <v>376902</v>
      </c>
      <c r="H397" s="1">
        <v>25390</v>
      </c>
      <c r="I397" s="1">
        <v>10</v>
      </c>
      <c r="J397" s="1">
        <v>69</v>
      </c>
      <c r="K397" s="1">
        <f t="shared" si="48"/>
        <v>1751910</v>
      </c>
      <c r="L397" s="1">
        <v>2</v>
      </c>
      <c r="M397" s="1">
        <f t="shared" si="46"/>
        <v>1701130</v>
      </c>
      <c r="N397" s="1">
        <f t="shared" si="47"/>
        <v>1324228</v>
      </c>
      <c r="O397" s="4">
        <f t="shared" si="43"/>
        <v>0.7784402132700029</v>
      </c>
      <c r="P397" s="4">
        <f t="shared" si="44"/>
        <v>2.9850746268656714</v>
      </c>
      <c r="Q397" s="4">
        <f t="shared" si="45"/>
        <v>5.7080557791210735E-4</v>
      </c>
    </row>
    <row r="398" spans="1:17">
      <c r="A398" s="1" t="s">
        <v>54</v>
      </c>
      <c r="B398" s="1" t="s">
        <v>26</v>
      </c>
      <c r="C398" s="1" t="s">
        <v>31</v>
      </c>
      <c r="D398" s="1" t="s">
        <v>392</v>
      </c>
      <c r="E398" s="1">
        <v>30249</v>
      </c>
      <c r="F398" s="1">
        <v>323671</v>
      </c>
      <c r="G398" s="1">
        <f t="shared" si="42"/>
        <v>353920</v>
      </c>
      <c r="H398" s="1">
        <v>59857</v>
      </c>
      <c r="I398" s="1">
        <v>5</v>
      </c>
      <c r="J398" s="1">
        <v>97</v>
      </c>
      <c r="K398" s="1">
        <f t="shared" si="48"/>
        <v>5806129</v>
      </c>
      <c r="L398" s="1">
        <v>22</v>
      </c>
      <c r="M398" s="1">
        <f t="shared" si="46"/>
        <v>4489275</v>
      </c>
      <c r="N398" s="1">
        <f t="shared" si="47"/>
        <v>4135355</v>
      </c>
      <c r="O398" s="4">
        <f t="shared" si="43"/>
        <v>0.9211632167777648</v>
      </c>
      <c r="P398" s="4">
        <f t="shared" si="44"/>
        <v>29.333333333333332</v>
      </c>
      <c r="Q398" s="4">
        <f t="shared" si="45"/>
        <v>8.6115895805966418E-5</v>
      </c>
    </row>
    <row r="399" spans="1:17">
      <c r="A399" s="1" t="s">
        <v>55</v>
      </c>
      <c r="B399" s="1" t="s">
        <v>20</v>
      </c>
      <c r="C399" s="1" t="s">
        <v>15</v>
      </c>
      <c r="D399" s="1" t="s">
        <v>391</v>
      </c>
      <c r="E399" s="1">
        <v>14018</v>
      </c>
      <c r="F399" s="1">
        <v>326503</v>
      </c>
      <c r="G399" s="1">
        <f t="shared" si="42"/>
        <v>340521</v>
      </c>
      <c r="H399" s="1">
        <v>74031</v>
      </c>
      <c r="I399" s="1">
        <v>10</v>
      </c>
      <c r="J399" s="1">
        <v>91</v>
      </c>
      <c r="K399" s="1">
        <f t="shared" si="48"/>
        <v>6736821</v>
      </c>
      <c r="L399" s="1">
        <v>20</v>
      </c>
      <c r="M399" s="1">
        <f t="shared" si="46"/>
        <v>5256201</v>
      </c>
      <c r="N399" s="1">
        <f t="shared" si="47"/>
        <v>4915680</v>
      </c>
      <c r="O399" s="4">
        <f t="shared" si="43"/>
        <v>0.935215377037522</v>
      </c>
      <c r="P399" s="4">
        <f t="shared" si="44"/>
        <v>28.169014084507044</v>
      </c>
      <c r="Q399" s="4">
        <f t="shared" si="45"/>
        <v>1.4843796502831232E-4</v>
      </c>
    </row>
    <row r="400" spans="1:17">
      <c r="A400" s="1" t="s">
        <v>56</v>
      </c>
      <c r="B400" s="1" t="s">
        <v>26</v>
      </c>
      <c r="C400" s="1" t="s">
        <v>18</v>
      </c>
      <c r="D400" s="1" t="s">
        <v>391</v>
      </c>
      <c r="E400" s="1">
        <v>18668</v>
      </c>
      <c r="F400" s="1">
        <v>378768</v>
      </c>
      <c r="G400" s="1">
        <f t="shared" si="42"/>
        <v>397436</v>
      </c>
      <c r="H400" s="1">
        <v>80234</v>
      </c>
      <c r="I400" s="1">
        <v>15</v>
      </c>
      <c r="J400" s="1">
        <v>139</v>
      </c>
      <c r="K400" s="1">
        <f t="shared" si="48"/>
        <v>11152526</v>
      </c>
      <c r="L400" s="1">
        <v>11</v>
      </c>
      <c r="M400" s="1">
        <f t="shared" si="46"/>
        <v>10269952</v>
      </c>
      <c r="N400" s="1">
        <f t="shared" si="47"/>
        <v>9872516</v>
      </c>
      <c r="O400" s="4">
        <f t="shared" si="43"/>
        <v>0.96130108495151678</v>
      </c>
      <c r="P400" s="4">
        <f t="shared" si="44"/>
        <v>8.59375</v>
      </c>
      <c r="Q400" s="4">
        <f t="shared" si="45"/>
        <v>1.3449867769866665E-4</v>
      </c>
    </row>
    <row r="401" spans="1:17">
      <c r="A401" s="1" t="s">
        <v>57</v>
      </c>
      <c r="B401" s="1" t="s">
        <v>20</v>
      </c>
      <c r="C401" s="1" t="s">
        <v>21</v>
      </c>
      <c r="D401" s="1" t="s">
        <v>391</v>
      </c>
      <c r="E401" s="1">
        <v>8192</v>
      </c>
      <c r="F401" s="1">
        <v>218379</v>
      </c>
      <c r="G401" s="1">
        <f t="shared" si="42"/>
        <v>226571</v>
      </c>
      <c r="H401" s="1">
        <v>73355</v>
      </c>
      <c r="I401" s="1">
        <v>20</v>
      </c>
      <c r="J401" s="1">
        <v>92</v>
      </c>
      <c r="K401" s="1">
        <f t="shared" si="48"/>
        <v>6748660</v>
      </c>
      <c r="L401" s="1">
        <v>15</v>
      </c>
      <c r="M401" s="1">
        <f t="shared" si="46"/>
        <v>5648335</v>
      </c>
      <c r="N401" s="1">
        <f t="shared" si="47"/>
        <v>5421764</v>
      </c>
      <c r="O401" s="4">
        <f t="shared" si="43"/>
        <v>0.95988711717700881</v>
      </c>
      <c r="P401" s="4">
        <f t="shared" si="44"/>
        <v>19.480519480519483</v>
      </c>
      <c r="Q401" s="4">
        <f t="shared" si="45"/>
        <v>2.9635512827731731E-4</v>
      </c>
    </row>
    <row r="402" spans="1:17">
      <c r="A402" s="1" t="s">
        <v>58</v>
      </c>
      <c r="B402" s="1" t="s">
        <v>14</v>
      </c>
      <c r="C402" s="1" t="s">
        <v>74</v>
      </c>
      <c r="D402" s="1" t="s">
        <v>391</v>
      </c>
      <c r="E402" s="1">
        <v>33988</v>
      </c>
      <c r="F402" s="1">
        <v>337571</v>
      </c>
      <c r="G402" s="1">
        <f t="shared" si="42"/>
        <v>371559</v>
      </c>
      <c r="H402" s="1">
        <v>36898</v>
      </c>
      <c r="I402" s="1">
        <v>5</v>
      </c>
      <c r="J402" s="1">
        <v>51</v>
      </c>
      <c r="K402" s="1">
        <f t="shared" si="48"/>
        <v>1881798</v>
      </c>
      <c r="L402" s="1">
        <v>33</v>
      </c>
      <c r="M402" s="1">
        <f t="shared" si="46"/>
        <v>664164</v>
      </c>
      <c r="N402" s="1">
        <f t="shared" si="47"/>
        <v>292605</v>
      </c>
      <c r="O402" s="4">
        <f t="shared" si="43"/>
        <v>0.44056136737311868</v>
      </c>
      <c r="P402" s="4">
        <f t="shared" si="44"/>
        <v>183.33333333333331</v>
      </c>
      <c r="Q402" s="4">
        <f t="shared" si="45"/>
        <v>2.657033326637609E-4</v>
      </c>
    </row>
    <row r="403" spans="1:17">
      <c r="A403" s="1" t="s">
        <v>59</v>
      </c>
      <c r="B403" s="1" t="s">
        <v>14</v>
      </c>
      <c r="C403" s="1" t="s">
        <v>15</v>
      </c>
      <c r="D403" s="1" t="s">
        <v>392</v>
      </c>
      <c r="E403" s="1">
        <v>14268</v>
      </c>
      <c r="F403" s="1">
        <v>115685</v>
      </c>
      <c r="G403" s="1">
        <f t="shared" si="42"/>
        <v>129953</v>
      </c>
      <c r="H403" s="1">
        <v>15281</v>
      </c>
      <c r="I403" s="1">
        <v>20</v>
      </c>
      <c r="J403" s="1">
        <v>76</v>
      </c>
      <c r="K403" s="1">
        <f t="shared" si="48"/>
        <v>1161356</v>
      </c>
      <c r="L403" s="1">
        <v>12</v>
      </c>
      <c r="M403" s="1">
        <f t="shared" si="46"/>
        <v>977984</v>
      </c>
      <c r="N403" s="1">
        <f t="shared" si="47"/>
        <v>848031</v>
      </c>
      <c r="O403" s="4">
        <f t="shared" si="43"/>
        <v>0.86712154800078534</v>
      </c>
      <c r="P403" s="4">
        <f t="shared" si="44"/>
        <v>18.75</v>
      </c>
      <c r="Q403" s="4">
        <f t="shared" si="45"/>
        <v>1.7221248264959236E-3</v>
      </c>
    </row>
    <row r="404" spans="1:17">
      <c r="A404" s="1" t="s">
        <v>60</v>
      </c>
      <c r="B404" s="1" t="s">
        <v>14</v>
      </c>
      <c r="C404" s="1" t="s">
        <v>21</v>
      </c>
      <c r="D404" s="1" t="s">
        <v>392</v>
      </c>
      <c r="E404" s="1">
        <v>49525</v>
      </c>
      <c r="F404" s="1">
        <v>96231</v>
      </c>
      <c r="G404" s="1">
        <f t="shared" si="42"/>
        <v>145756</v>
      </c>
      <c r="H404" s="1">
        <v>38695</v>
      </c>
      <c r="I404" s="1">
        <v>15</v>
      </c>
      <c r="J404" s="1">
        <v>149</v>
      </c>
      <c r="K404" s="1">
        <f t="shared" si="48"/>
        <v>5765555</v>
      </c>
      <c r="L404" s="1">
        <v>38</v>
      </c>
      <c r="M404" s="1">
        <f t="shared" si="46"/>
        <v>4295145</v>
      </c>
      <c r="N404" s="1">
        <f t="shared" si="47"/>
        <v>4149389</v>
      </c>
      <c r="O404" s="4">
        <f t="shared" si="43"/>
        <v>0.96606494076451432</v>
      </c>
      <c r="P404" s="4">
        <f t="shared" si="44"/>
        <v>34.234234234234236</v>
      </c>
      <c r="Q404" s="4">
        <f t="shared" si="45"/>
        <v>2.6016576027806514E-4</v>
      </c>
    </row>
    <row r="405" spans="1:17">
      <c r="A405" s="1" t="s">
        <v>61</v>
      </c>
      <c r="B405" s="1" t="s">
        <v>20</v>
      </c>
      <c r="C405" s="1" t="s">
        <v>31</v>
      </c>
      <c r="D405" s="1" t="s">
        <v>392</v>
      </c>
      <c r="E405" s="1">
        <v>22531</v>
      </c>
      <c r="F405" s="1">
        <v>164732</v>
      </c>
      <c r="G405" s="1">
        <f t="shared" si="42"/>
        <v>187263</v>
      </c>
      <c r="H405" s="1">
        <v>21246</v>
      </c>
      <c r="I405" s="1">
        <v>0</v>
      </c>
      <c r="J405" s="1">
        <v>101</v>
      </c>
      <c r="K405" s="1">
        <f t="shared" si="48"/>
        <v>2145846</v>
      </c>
      <c r="L405" s="1">
        <v>27</v>
      </c>
      <c r="M405" s="1">
        <f t="shared" si="46"/>
        <v>1572204</v>
      </c>
      <c r="N405" s="1">
        <f t="shared" si="47"/>
        <v>1384941</v>
      </c>
      <c r="O405" s="4">
        <f t="shared" si="43"/>
        <v>0.88089141103826218</v>
      </c>
      <c r="P405" s="4">
        <f t="shared" si="44"/>
        <v>36.486486486486484</v>
      </c>
      <c r="Q405" s="4">
        <f t="shared" si="45"/>
        <v>0</v>
      </c>
    </row>
    <row r="406" spans="1:17">
      <c r="A406" s="1" t="s">
        <v>62</v>
      </c>
      <c r="B406" s="1" t="s">
        <v>26</v>
      </c>
      <c r="C406" s="1" t="s">
        <v>18</v>
      </c>
      <c r="D406" s="1" t="s">
        <v>392</v>
      </c>
      <c r="E406" s="1">
        <v>32923</v>
      </c>
      <c r="F406" s="1">
        <v>87193</v>
      </c>
      <c r="G406" s="1">
        <f t="shared" si="42"/>
        <v>120116</v>
      </c>
      <c r="H406" s="1">
        <v>42697</v>
      </c>
      <c r="I406" s="1">
        <v>5</v>
      </c>
      <c r="J406" s="1">
        <v>112</v>
      </c>
      <c r="K406" s="1">
        <f t="shared" si="48"/>
        <v>4782064</v>
      </c>
      <c r="L406" s="1">
        <v>5</v>
      </c>
      <c r="M406" s="1">
        <f t="shared" si="46"/>
        <v>4568579</v>
      </c>
      <c r="N406" s="1">
        <f t="shared" si="47"/>
        <v>4448463</v>
      </c>
      <c r="O406" s="4">
        <f t="shared" si="43"/>
        <v>0.97370823619335467</v>
      </c>
      <c r="P406" s="4">
        <f t="shared" si="44"/>
        <v>4.6728971962616823</v>
      </c>
      <c r="Q406" s="4">
        <f t="shared" si="45"/>
        <v>1.0455736267854216E-4</v>
      </c>
    </row>
    <row r="407" spans="1:17">
      <c r="A407" s="1" t="s">
        <v>63</v>
      </c>
      <c r="B407" s="1" t="s">
        <v>26</v>
      </c>
      <c r="C407" s="1" t="s">
        <v>38</v>
      </c>
      <c r="D407" s="1" t="s">
        <v>391</v>
      </c>
      <c r="E407" s="1">
        <v>25632</v>
      </c>
      <c r="F407" s="1">
        <v>218509</v>
      </c>
      <c r="G407" s="1">
        <f t="shared" si="42"/>
        <v>244141</v>
      </c>
      <c r="H407" s="1">
        <v>73533</v>
      </c>
      <c r="I407" s="1">
        <v>0</v>
      </c>
      <c r="J407" s="1">
        <v>104</v>
      </c>
      <c r="K407" s="1">
        <f t="shared" si="48"/>
        <v>7647432</v>
      </c>
      <c r="L407" s="1">
        <v>24</v>
      </c>
      <c r="M407" s="1">
        <f t="shared" si="46"/>
        <v>5882640</v>
      </c>
      <c r="N407" s="1">
        <f t="shared" si="47"/>
        <v>5638499</v>
      </c>
      <c r="O407" s="4">
        <f t="shared" si="43"/>
        <v>0.95849805529490162</v>
      </c>
      <c r="P407" s="4">
        <f t="shared" si="44"/>
        <v>30</v>
      </c>
      <c r="Q407" s="4">
        <f t="shared" si="45"/>
        <v>0</v>
      </c>
    </row>
    <row r="408" spans="1:17">
      <c r="A408" s="1" t="s">
        <v>64</v>
      </c>
      <c r="B408" s="1" t="s">
        <v>17</v>
      </c>
      <c r="C408" s="1" t="s">
        <v>21</v>
      </c>
      <c r="D408" s="1" t="s">
        <v>392</v>
      </c>
      <c r="E408" s="1">
        <v>37390</v>
      </c>
      <c r="F408" s="1">
        <v>202255</v>
      </c>
      <c r="G408" s="1">
        <f t="shared" si="42"/>
        <v>239645</v>
      </c>
      <c r="H408" s="1">
        <v>37237</v>
      </c>
      <c r="I408" s="1">
        <v>10</v>
      </c>
      <c r="J408" s="1">
        <v>16</v>
      </c>
      <c r="K408" s="1">
        <f t="shared" si="48"/>
        <v>595792</v>
      </c>
      <c r="L408" s="1">
        <v>22</v>
      </c>
      <c r="M408" s="1">
        <f t="shared" si="46"/>
        <v>-223422</v>
      </c>
      <c r="N408" s="1">
        <f t="shared" si="47"/>
        <v>-463067</v>
      </c>
      <c r="O408" s="4">
        <f t="shared" si="43"/>
        <v>-2.0726114706698535</v>
      </c>
      <c r="P408" s="4">
        <f t="shared" si="44"/>
        <v>-366.66666666666663</v>
      </c>
      <c r="Q408" s="4">
        <f t="shared" si="45"/>
        <v>1.678438112629911E-3</v>
      </c>
    </row>
    <row r="409" spans="1:17">
      <c r="A409" s="1" t="s">
        <v>65</v>
      </c>
      <c r="B409" s="1" t="s">
        <v>17</v>
      </c>
      <c r="C409" s="1" t="s">
        <v>21</v>
      </c>
      <c r="D409" s="1" t="s">
        <v>391</v>
      </c>
      <c r="E409" s="1">
        <v>38232</v>
      </c>
      <c r="F409" s="1">
        <v>74234</v>
      </c>
      <c r="G409" s="1">
        <f t="shared" si="42"/>
        <v>112466</v>
      </c>
      <c r="H409" s="1">
        <v>48178</v>
      </c>
      <c r="I409" s="1">
        <v>15</v>
      </c>
      <c r="J409" s="1">
        <v>91</v>
      </c>
      <c r="K409" s="1">
        <f t="shared" si="48"/>
        <v>4384198</v>
      </c>
      <c r="L409" s="1">
        <v>28</v>
      </c>
      <c r="M409" s="1">
        <f t="shared" si="46"/>
        <v>3035214</v>
      </c>
      <c r="N409" s="1">
        <f t="shared" si="47"/>
        <v>2922748</v>
      </c>
      <c r="O409" s="4">
        <f t="shared" si="43"/>
        <v>0.96294627001588684</v>
      </c>
      <c r="P409" s="4">
        <f t="shared" si="44"/>
        <v>44.444444444444443</v>
      </c>
      <c r="Q409" s="4">
        <f t="shared" si="45"/>
        <v>3.4213783227856042E-4</v>
      </c>
    </row>
    <row r="410" spans="1:17">
      <c r="A410" s="1" t="s">
        <v>66</v>
      </c>
      <c r="B410" s="1" t="s">
        <v>26</v>
      </c>
      <c r="C410" s="1" t="s">
        <v>18</v>
      </c>
      <c r="D410" s="1" t="s">
        <v>391</v>
      </c>
      <c r="E410" s="1">
        <v>10204</v>
      </c>
      <c r="F410" s="1">
        <v>344990</v>
      </c>
      <c r="G410" s="1">
        <f t="shared" si="42"/>
        <v>355194</v>
      </c>
      <c r="H410" s="1">
        <v>83098</v>
      </c>
      <c r="I410" s="1">
        <v>5</v>
      </c>
      <c r="J410" s="1">
        <v>35</v>
      </c>
      <c r="K410" s="1">
        <f t="shared" si="48"/>
        <v>2908430</v>
      </c>
      <c r="L410" s="1">
        <v>31</v>
      </c>
      <c r="M410" s="1">
        <f t="shared" si="46"/>
        <v>332392</v>
      </c>
      <c r="N410" s="1">
        <f t="shared" si="47"/>
        <v>-22802</v>
      </c>
      <c r="O410" s="4">
        <f t="shared" si="43"/>
        <v>-6.8599725625165461E-2</v>
      </c>
      <c r="P410" s="4">
        <f t="shared" si="44"/>
        <v>775</v>
      </c>
      <c r="Q410" s="4">
        <f t="shared" si="45"/>
        <v>1.7191405672476216E-4</v>
      </c>
    </row>
    <row r="411" spans="1:17">
      <c r="A411" s="1" t="s">
        <v>67</v>
      </c>
      <c r="B411" s="1" t="s">
        <v>14</v>
      </c>
      <c r="C411" s="1" t="s">
        <v>29</v>
      </c>
      <c r="D411" s="1" t="s">
        <v>391</v>
      </c>
      <c r="E411" s="1">
        <v>5565</v>
      </c>
      <c r="F411" s="1">
        <v>215896</v>
      </c>
      <c r="G411" s="1">
        <f t="shared" si="42"/>
        <v>221461</v>
      </c>
      <c r="H411" s="1">
        <v>41980</v>
      </c>
      <c r="I411" s="1">
        <v>20</v>
      </c>
      <c r="J411" s="1">
        <v>21</v>
      </c>
      <c r="K411" s="1">
        <f t="shared" si="48"/>
        <v>881580</v>
      </c>
      <c r="L411" s="1">
        <v>37</v>
      </c>
      <c r="M411" s="1">
        <f t="shared" si="46"/>
        <v>-671680</v>
      </c>
      <c r="N411" s="1">
        <f t="shared" si="47"/>
        <v>-893141</v>
      </c>
      <c r="O411" s="4">
        <f t="shared" si="43"/>
        <v>-1.3297120652691758</v>
      </c>
      <c r="P411" s="4">
        <f t="shared" si="44"/>
        <v>-231.25</v>
      </c>
      <c r="Q411" s="4">
        <f t="shared" si="45"/>
        <v>2.2686540075773044E-3</v>
      </c>
    </row>
    <row r="412" spans="1:17">
      <c r="A412" s="1" t="s">
        <v>68</v>
      </c>
      <c r="B412" s="1" t="s">
        <v>26</v>
      </c>
      <c r="C412" s="1" t="s">
        <v>38</v>
      </c>
      <c r="D412" s="1" t="s">
        <v>391</v>
      </c>
      <c r="E412" s="1">
        <v>8401</v>
      </c>
      <c r="F412" s="1">
        <v>205151</v>
      </c>
      <c r="G412" s="1">
        <f t="shared" si="42"/>
        <v>213552</v>
      </c>
      <c r="H412" s="1">
        <v>25185</v>
      </c>
      <c r="I412" s="1">
        <v>10</v>
      </c>
      <c r="J412" s="1">
        <v>34</v>
      </c>
      <c r="K412" s="1">
        <f t="shared" si="48"/>
        <v>856290</v>
      </c>
      <c r="L412" s="1">
        <v>20</v>
      </c>
      <c r="M412" s="1">
        <f t="shared" si="46"/>
        <v>352590</v>
      </c>
      <c r="N412" s="1">
        <f t="shared" si="47"/>
        <v>139038</v>
      </c>
      <c r="O412" s="4">
        <f t="shared" si="43"/>
        <v>0.39433336169488642</v>
      </c>
      <c r="P412" s="4">
        <f t="shared" si="44"/>
        <v>142.85714285714286</v>
      </c>
      <c r="Q412" s="4">
        <f t="shared" si="45"/>
        <v>1.1678286561795654E-3</v>
      </c>
    </row>
    <row r="413" spans="1:17">
      <c r="A413" s="1" t="s">
        <v>69</v>
      </c>
      <c r="B413" s="1" t="s">
        <v>20</v>
      </c>
      <c r="C413" s="1" t="s">
        <v>21</v>
      </c>
      <c r="D413" s="1" t="s">
        <v>392</v>
      </c>
      <c r="E413" s="1">
        <v>11111</v>
      </c>
      <c r="F413" s="1">
        <v>359486</v>
      </c>
      <c r="G413" s="1">
        <f t="shared" si="42"/>
        <v>370597</v>
      </c>
      <c r="H413" s="1">
        <v>77098</v>
      </c>
      <c r="I413" s="1">
        <v>5</v>
      </c>
      <c r="J413" s="1">
        <v>91</v>
      </c>
      <c r="K413" s="1">
        <f t="shared" si="48"/>
        <v>7015918</v>
      </c>
      <c r="L413" s="1">
        <v>30</v>
      </c>
      <c r="M413" s="1">
        <f t="shared" si="46"/>
        <v>4702978</v>
      </c>
      <c r="N413" s="1">
        <f t="shared" si="47"/>
        <v>4332381</v>
      </c>
      <c r="O413" s="4">
        <f t="shared" si="43"/>
        <v>0.92119950380376003</v>
      </c>
      <c r="P413" s="4">
        <f t="shared" si="44"/>
        <v>49.180327868852459</v>
      </c>
      <c r="Q413" s="4">
        <f t="shared" si="45"/>
        <v>7.1266511381689468E-5</v>
      </c>
    </row>
    <row r="414" spans="1:17">
      <c r="A414" s="1" t="s">
        <v>70</v>
      </c>
      <c r="B414" s="1" t="s">
        <v>20</v>
      </c>
      <c r="C414" s="1" t="s">
        <v>29</v>
      </c>
      <c r="D414" s="1" t="s">
        <v>391</v>
      </c>
      <c r="E414" s="1">
        <v>11941</v>
      </c>
      <c r="F414" s="1">
        <v>213082</v>
      </c>
      <c r="G414" s="1">
        <f t="shared" si="42"/>
        <v>225023</v>
      </c>
      <c r="H414" s="1">
        <v>53539</v>
      </c>
      <c r="I414" s="1">
        <v>20</v>
      </c>
      <c r="J414" s="1">
        <v>49</v>
      </c>
      <c r="K414" s="1">
        <f t="shared" si="48"/>
        <v>2623411</v>
      </c>
      <c r="L414" s="1">
        <v>36</v>
      </c>
      <c r="M414" s="1">
        <f t="shared" si="46"/>
        <v>696007</v>
      </c>
      <c r="N414" s="1">
        <f t="shared" si="47"/>
        <v>470984</v>
      </c>
      <c r="O414" s="4">
        <f t="shared" si="43"/>
        <v>0.67669434359137193</v>
      </c>
      <c r="P414" s="4">
        <f t="shared" si="44"/>
        <v>276.92307692307691</v>
      </c>
      <c r="Q414" s="4">
        <f t="shared" si="45"/>
        <v>7.6236624760664645E-4</v>
      </c>
    </row>
    <row r="415" spans="1:17">
      <c r="A415" s="1" t="s">
        <v>71</v>
      </c>
      <c r="B415" s="1" t="s">
        <v>17</v>
      </c>
      <c r="C415" s="1" t="s">
        <v>21</v>
      </c>
      <c r="D415" s="1" t="s">
        <v>391</v>
      </c>
      <c r="E415" s="1">
        <v>7712</v>
      </c>
      <c r="F415" s="1">
        <v>143238</v>
      </c>
      <c r="G415" s="1">
        <f t="shared" si="42"/>
        <v>150950</v>
      </c>
      <c r="H415" s="1">
        <v>81157</v>
      </c>
      <c r="I415" s="1">
        <v>20</v>
      </c>
      <c r="J415" s="1">
        <v>92</v>
      </c>
      <c r="K415" s="1">
        <f t="shared" si="48"/>
        <v>7466444</v>
      </c>
      <c r="L415" s="1">
        <v>11</v>
      </c>
      <c r="M415" s="1">
        <f t="shared" si="46"/>
        <v>6573717</v>
      </c>
      <c r="N415" s="1">
        <f t="shared" si="47"/>
        <v>6422767</v>
      </c>
      <c r="O415" s="4">
        <f t="shared" si="43"/>
        <v>0.97703734432133293</v>
      </c>
      <c r="P415" s="4">
        <f t="shared" si="44"/>
        <v>13.580246913580247</v>
      </c>
      <c r="Q415" s="4">
        <f t="shared" si="45"/>
        <v>2.678651309780131E-4</v>
      </c>
    </row>
    <row r="416" spans="1:17">
      <c r="A416" s="1" t="s">
        <v>72</v>
      </c>
      <c r="B416" s="1" t="s">
        <v>26</v>
      </c>
      <c r="C416" s="1" t="s">
        <v>21</v>
      </c>
      <c r="D416" s="1" t="s">
        <v>392</v>
      </c>
      <c r="E416" s="1">
        <v>42885</v>
      </c>
      <c r="F416" s="1">
        <v>308787</v>
      </c>
      <c r="G416" s="1">
        <f t="shared" si="42"/>
        <v>351672</v>
      </c>
      <c r="H416" s="1">
        <v>40238</v>
      </c>
      <c r="I416" s="1">
        <v>20</v>
      </c>
      <c r="J416" s="1">
        <v>92</v>
      </c>
      <c r="K416" s="1">
        <f t="shared" si="48"/>
        <v>3701896</v>
      </c>
      <c r="L416" s="1">
        <v>21</v>
      </c>
      <c r="M416" s="1">
        <f t="shared" si="46"/>
        <v>2856898</v>
      </c>
      <c r="N416" s="1">
        <f t="shared" si="47"/>
        <v>2505226</v>
      </c>
      <c r="O416" s="4">
        <f t="shared" si="43"/>
        <v>0.87690425069428446</v>
      </c>
      <c r="P416" s="4">
        <f t="shared" si="44"/>
        <v>29.577464788732392</v>
      </c>
      <c r="Q416" s="4">
        <f t="shared" si="45"/>
        <v>5.4026369190274389E-4</v>
      </c>
    </row>
    <row r="417" spans="1:17">
      <c r="A417" s="1" t="s">
        <v>73</v>
      </c>
      <c r="B417" s="1" t="s">
        <v>14</v>
      </c>
      <c r="C417" s="1" t="s">
        <v>18</v>
      </c>
      <c r="D417" s="1" t="s">
        <v>392</v>
      </c>
      <c r="E417" s="1">
        <v>31721</v>
      </c>
      <c r="F417" s="1">
        <v>328229</v>
      </c>
      <c r="G417" s="1">
        <f t="shared" si="42"/>
        <v>359950</v>
      </c>
      <c r="H417" s="1">
        <v>32185</v>
      </c>
      <c r="I417" s="1">
        <v>15</v>
      </c>
      <c r="J417" s="1">
        <v>145</v>
      </c>
      <c r="K417" s="1">
        <f t="shared" si="48"/>
        <v>4666825</v>
      </c>
      <c r="L417" s="1">
        <v>97</v>
      </c>
      <c r="M417" s="1">
        <f t="shared" si="46"/>
        <v>1544880</v>
      </c>
      <c r="N417" s="1">
        <f t="shared" si="47"/>
        <v>1184930</v>
      </c>
      <c r="O417" s="4">
        <f t="shared" si="43"/>
        <v>0.76700455698824499</v>
      </c>
      <c r="P417" s="4">
        <f t="shared" si="44"/>
        <v>202.08333333333334</v>
      </c>
      <c r="Q417" s="4">
        <f t="shared" si="45"/>
        <v>3.2141766618632583E-4</v>
      </c>
    </row>
    <row r="418" spans="1:17">
      <c r="A418" s="1" t="s">
        <v>75</v>
      </c>
      <c r="B418" s="1" t="s">
        <v>17</v>
      </c>
      <c r="C418" s="1" t="s">
        <v>29</v>
      </c>
      <c r="D418" s="1" t="s">
        <v>391</v>
      </c>
      <c r="E418" s="1">
        <v>6202</v>
      </c>
      <c r="F418" s="1">
        <v>388311</v>
      </c>
      <c r="G418" s="1">
        <f t="shared" si="42"/>
        <v>394513</v>
      </c>
      <c r="H418" s="1">
        <v>78299</v>
      </c>
      <c r="I418" s="1">
        <v>5</v>
      </c>
      <c r="J418" s="1">
        <v>56</v>
      </c>
      <c r="K418" s="1">
        <f t="shared" si="48"/>
        <v>4384744</v>
      </c>
      <c r="L418" s="1">
        <v>29</v>
      </c>
      <c r="M418" s="1">
        <f t="shared" si="46"/>
        <v>2114073</v>
      </c>
      <c r="N418" s="1">
        <f t="shared" si="47"/>
        <v>1719560</v>
      </c>
      <c r="O418" s="4">
        <f t="shared" si="43"/>
        <v>0.81338723875665597</v>
      </c>
      <c r="P418" s="4">
        <f t="shared" si="44"/>
        <v>107.40740740740742</v>
      </c>
      <c r="Q418" s="4">
        <f t="shared" si="45"/>
        <v>1.1403174278817646E-4</v>
      </c>
    </row>
    <row r="419" spans="1:17">
      <c r="A419" s="1" t="s">
        <v>76</v>
      </c>
      <c r="B419" s="1" t="s">
        <v>26</v>
      </c>
      <c r="C419" s="1" t="s">
        <v>15</v>
      </c>
      <c r="D419" s="1" t="s">
        <v>392</v>
      </c>
      <c r="E419" s="1">
        <v>30772</v>
      </c>
      <c r="F419" s="1">
        <v>398589</v>
      </c>
      <c r="G419" s="1">
        <f t="shared" si="42"/>
        <v>429361</v>
      </c>
      <c r="H419" s="1">
        <v>25636</v>
      </c>
      <c r="I419" s="1">
        <v>0</v>
      </c>
      <c r="J419" s="1">
        <v>29</v>
      </c>
      <c r="K419" s="1">
        <f t="shared" si="48"/>
        <v>743444</v>
      </c>
      <c r="L419" s="1">
        <v>35</v>
      </c>
      <c r="M419" s="1">
        <f t="shared" si="46"/>
        <v>-153816</v>
      </c>
      <c r="N419" s="1">
        <f t="shared" si="47"/>
        <v>-583177</v>
      </c>
      <c r="O419" s="4">
        <f t="shared" si="43"/>
        <v>-3.7913936131481769</v>
      </c>
      <c r="P419" s="4">
        <f t="shared" si="44"/>
        <v>-583.33333333333326</v>
      </c>
      <c r="Q419" s="4">
        <f t="shared" si="45"/>
        <v>0</v>
      </c>
    </row>
    <row r="420" spans="1:17">
      <c r="A420" s="1" t="s">
        <v>77</v>
      </c>
      <c r="B420" s="1" t="s">
        <v>26</v>
      </c>
      <c r="C420" s="1" t="s">
        <v>15</v>
      </c>
      <c r="D420" s="1" t="s">
        <v>391</v>
      </c>
      <c r="E420" s="1">
        <v>19668</v>
      </c>
      <c r="F420" s="1">
        <v>241282</v>
      </c>
      <c r="G420" s="1">
        <f t="shared" si="42"/>
        <v>260950</v>
      </c>
      <c r="H420" s="1">
        <v>51411</v>
      </c>
      <c r="I420" s="1">
        <v>15</v>
      </c>
      <c r="J420" s="1">
        <v>90</v>
      </c>
      <c r="K420" s="1">
        <f t="shared" si="48"/>
        <v>4626990</v>
      </c>
      <c r="L420" s="1">
        <v>4</v>
      </c>
      <c r="M420" s="1">
        <f t="shared" si="46"/>
        <v>4421346</v>
      </c>
      <c r="N420" s="1">
        <f t="shared" si="47"/>
        <v>4160396</v>
      </c>
      <c r="O420" s="4">
        <f t="shared" si="43"/>
        <v>0.9409795116690709</v>
      </c>
      <c r="P420" s="4">
        <f t="shared" si="44"/>
        <v>4.6511627906976747</v>
      </c>
      <c r="Q420" s="4">
        <f t="shared" si="45"/>
        <v>3.2418483722679325E-4</v>
      </c>
    </row>
    <row r="421" spans="1:17">
      <c r="A421" s="1" t="s">
        <v>78</v>
      </c>
      <c r="B421" s="1" t="s">
        <v>20</v>
      </c>
      <c r="C421" s="1" t="s">
        <v>18</v>
      </c>
      <c r="D421" s="1" t="s">
        <v>391</v>
      </c>
      <c r="E421" s="1">
        <v>47095</v>
      </c>
      <c r="F421" s="1">
        <v>302421</v>
      </c>
      <c r="G421" s="1">
        <f t="shared" si="42"/>
        <v>349516</v>
      </c>
      <c r="H421" s="1">
        <v>23235</v>
      </c>
      <c r="I421" s="1">
        <v>10</v>
      </c>
      <c r="J421" s="1">
        <v>123</v>
      </c>
      <c r="K421" s="1">
        <f t="shared" si="48"/>
        <v>2857905</v>
      </c>
      <c r="L421" s="1">
        <v>19</v>
      </c>
      <c r="M421" s="1">
        <f t="shared" si="46"/>
        <v>2416440</v>
      </c>
      <c r="N421" s="1">
        <f t="shared" si="47"/>
        <v>2066924</v>
      </c>
      <c r="O421" s="4">
        <f t="shared" si="43"/>
        <v>0.85535912333846487</v>
      </c>
      <c r="P421" s="4">
        <f t="shared" si="44"/>
        <v>18.269230769230766</v>
      </c>
      <c r="Q421" s="4">
        <f t="shared" si="45"/>
        <v>3.4990666239780537E-4</v>
      </c>
    </row>
    <row r="422" spans="1:17">
      <c r="A422" s="1" t="s">
        <v>79</v>
      </c>
      <c r="B422" s="1" t="s">
        <v>20</v>
      </c>
      <c r="C422" s="1" t="s">
        <v>18</v>
      </c>
      <c r="D422" s="1" t="s">
        <v>391</v>
      </c>
      <c r="E422" s="1">
        <v>38419</v>
      </c>
      <c r="F422" s="1">
        <v>116734</v>
      </c>
      <c r="G422" s="1">
        <f t="shared" si="42"/>
        <v>155153</v>
      </c>
      <c r="H422" s="1">
        <v>57736</v>
      </c>
      <c r="I422" s="1">
        <v>0</v>
      </c>
      <c r="J422" s="1">
        <v>61</v>
      </c>
      <c r="K422" s="1">
        <f t="shared" si="48"/>
        <v>3521896</v>
      </c>
      <c r="L422" s="1">
        <v>21</v>
      </c>
      <c r="M422" s="1">
        <f t="shared" si="46"/>
        <v>2309440</v>
      </c>
      <c r="N422" s="1">
        <f t="shared" si="47"/>
        <v>2154287</v>
      </c>
      <c r="O422" s="4">
        <f t="shared" si="43"/>
        <v>0.93281791256754887</v>
      </c>
      <c r="P422" s="4">
        <f t="shared" si="44"/>
        <v>52.5</v>
      </c>
      <c r="Q422" s="4">
        <f t="shared" si="45"/>
        <v>0</v>
      </c>
    </row>
    <row r="423" spans="1:17">
      <c r="A423" s="1" t="s">
        <v>80</v>
      </c>
      <c r="B423" s="1" t="s">
        <v>20</v>
      </c>
      <c r="C423" s="1" t="s">
        <v>18</v>
      </c>
      <c r="D423" s="1" t="s">
        <v>391</v>
      </c>
      <c r="E423" s="1">
        <v>35118</v>
      </c>
      <c r="F423" s="1">
        <v>390903</v>
      </c>
      <c r="G423" s="1">
        <f t="shared" si="42"/>
        <v>426021</v>
      </c>
      <c r="H423" s="1">
        <v>15670</v>
      </c>
      <c r="I423" s="1">
        <v>0</v>
      </c>
      <c r="J423" s="1">
        <v>49</v>
      </c>
      <c r="K423" s="1">
        <f t="shared" si="48"/>
        <v>767830</v>
      </c>
      <c r="L423" s="1">
        <v>22</v>
      </c>
      <c r="M423" s="1">
        <f t="shared" si="46"/>
        <v>423090</v>
      </c>
      <c r="N423" s="1">
        <f t="shared" si="47"/>
        <v>-2931</v>
      </c>
      <c r="O423" s="4">
        <f t="shared" si="43"/>
        <v>-6.9276040558746369E-3</v>
      </c>
      <c r="P423" s="4">
        <f t="shared" si="44"/>
        <v>81.481481481481481</v>
      </c>
      <c r="Q423" s="4">
        <f t="shared" si="45"/>
        <v>0</v>
      </c>
    </row>
    <row r="424" spans="1:17">
      <c r="A424" s="1" t="s">
        <v>81</v>
      </c>
      <c r="B424" s="1" t="s">
        <v>20</v>
      </c>
      <c r="C424" s="1" t="s">
        <v>15</v>
      </c>
      <c r="D424" s="1" t="s">
        <v>392</v>
      </c>
      <c r="E424" s="1">
        <v>11022</v>
      </c>
      <c r="F424" s="1">
        <v>327043</v>
      </c>
      <c r="G424" s="1">
        <f t="shared" si="42"/>
        <v>338065</v>
      </c>
      <c r="H424" s="1">
        <v>28680</v>
      </c>
      <c r="I424" s="1">
        <v>15</v>
      </c>
      <c r="J424" s="1">
        <v>73</v>
      </c>
      <c r="K424" s="1">
        <f t="shared" si="48"/>
        <v>2093640</v>
      </c>
      <c r="L424" s="1">
        <v>25</v>
      </c>
      <c r="M424" s="1">
        <f t="shared" si="46"/>
        <v>1376640</v>
      </c>
      <c r="N424" s="1">
        <f t="shared" si="47"/>
        <v>1038575</v>
      </c>
      <c r="O424" s="4">
        <f t="shared" si="43"/>
        <v>0.75442744653649463</v>
      </c>
      <c r="P424" s="4">
        <f t="shared" si="44"/>
        <v>52.083333333333336</v>
      </c>
      <c r="Q424" s="4">
        <f t="shared" si="45"/>
        <v>7.1645555109760989E-4</v>
      </c>
    </row>
    <row r="425" spans="1:17">
      <c r="A425" s="1" t="s">
        <v>82</v>
      </c>
      <c r="B425" s="1" t="s">
        <v>14</v>
      </c>
      <c r="C425" s="1" t="s">
        <v>21</v>
      </c>
      <c r="D425" s="1" t="s">
        <v>391</v>
      </c>
      <c r="E425" s="1">
        <v>39876</v>
      </c>
      <c r="F425" s="1">
        <v>230498</v>
      </c>
      <c r="G425" s="1">
        <f t="shared" si="42"/>
        <v>270374</v>
      </c>
      <c r="H425" s="1">
        <v>47009</v>
      </c>
      <c r="I425" s="1">
        <v>10</v>
      </c>
      <c r="J425" s="1">
        <v>105</v>
      </c>
      <c r="K425" s="1">
        <f t="shared" si="48"/>
        <v>4935945</v>
      </c>
      <c r="L425" s="1">
        <v>6</v>
      </c>
      <c r="M425" s="1">
        <f t="shared" si="46"/>
        <v>4653891</v>
      </c>
      <c r="N425" s="1">
        <f t="shared" si="47"/>
        <v>4383517</v>
      </c>
      <c r="O425" s="4">
        <f t="shared" si="43"/>
        <v>0.94190366727540464</v>
      </c>
      <c r="P425" s="4">
        <f t="shared" si="44"/>
        <v>6.0606060606060606</v>
      </c>
      <c r="Q425" s="4">
        <f t="shared" si="45"/>
        <v>2.025954503139723E-4</v>
      </c>
    </row>
    <row r="426" spans="1:17">
      <c r="A426" s="1" t="s">
        <v>83</v>
      </c>
      <c r="B426" s="1" t="s">
        <v>26</v>
      </c>
      <c r="C426" s="1" t="s">
        <v>29</v>
      </c>
      <c r="D426" s="1" t="s">
        <v>392</v>
      </c>
      <c r="E426" s="1">
        <v>7306</v>
      </c>
      <c r="F426" s="1">
        <v>223969</v>
      </c>
      <c r="G426" s="1">
        <f t="shared" si="42"/>
        <v>231275</v>
      </c>
      <c r="H426" s="1">
        <v>40380</v>
      </c>
      <c r="I426" s="1">
        <v>20</v>
      </c>
      <c r="J426" s="1">
        <v>25</v>
      </c>
      <c r="K426" s="1">
        <f t="shared" si="48"/>
        <v>1009500</v>
      </c>
      <c r="L426" s="1">
        <v>3</v>
      </c>
      <c r="M426" s="1">
        <f t="shared" si="46"/>
        <v>888360</v>
      </c>
      <c r="N426" s="1">
        <f t="shared" si="47"/>
        <v>657085</v>
      </c>
      <c r="O426" s="4">
        <f t="shared" si="43"/>
        <v>0.73966072313026254</v>
      </c>
      <c r="P426" s="4">
        <f t="shared" si="44"/>
        <v>13.636363636363635</v>
      </c>
      <c r="Q426" s="4">
        <f t="shared" si="45"/>
        <v>1.9811788013868255E-3</v>
      </c>
    </row>
    <row r="427" spans="1:17">
      <c r="A427" s="1" t="s">
        <v>84</v>
      </c>
      <c r="B427" s="1" t="s">
        <v>26</v>
      </c>
      <c r="C427" s="1" t="s">
        <v>29</v>
      </c>
      <c r="D427" s="1" t="s">
        <v>391</v>
      </c>
      <c r="E427" s="1">
        <v>15704</v>
      </c>
      <c r="F427" s="1">
        <v>300044</v>
      </c>
      <c r="G427" s="1">
        <f t="shared" si="42"/>
        <v>315748</v>
      </c>
      <c r="H427" s="1">
        <v>55626</v>
      </c>
      <c r="I427" s="1">
        <v>10</v>
      </c>
      <c r="J427" s="1">
        <v>23</v>
      </c>
      <c r="K427" s="1">
        <f t="shared" si="48"/>
        <v>1279398</v>
      </c>
      <c r="L427" s="1">
        <v>27</v>
      </c>
      <c r="M427" s="1">
        <f t="shared" si="46"/>
        <v>-222504</v>
      </c>
      <c r="N427" s="1">
        <f t="shared" si="47"/>
        <v>-538252</v>
      </c>
      <c r="O427" s="4">
        <f t="shared" si="43"/>
        <v>-2.4190666235213749</v>
      </c>
      <c r="P427" s="4">
        <f t="shared" si="44"/>
        <v>-675</v>
      </c>
      <c r="Q427" s="4">
        <f t="shared" si="45"/>
        <v>7.8161760452963042E-4</v>
      </c>
    </row>
    <row r="428" spans="1:17">
      <c r="A428" s="1" t="s">
        <v>85</v>
      </c>
      <c r="B428" s="1" t="s">
        <v>14</v>
      </c>
      <c r="C428" s="1" t="s">
        <v>21</v>
      </c>
      <c r="D428" s="1" t="s">
        <v>392</v>
      </c>
      <c r="E428" s="1">
        <v>11215</v>
      </c>
      <c r="F428" s="1">
        <v>243248</v>
      </c>
      <c r="G428" s="1">
        <f t="shared" si="42"/>
        <v>254463</v>
      </c>
      <c r="H428" s="1">
        <v>14226</v>
      </c>
      <c r="I428" s="1">
        <v>10</v>
      </c>
      <c r="J428" s="1">
        <v>26</v>
      </c>
      <c r="K428" s="1">
        <f t="shared" si="48"/>
        <v>369876</v>
      </c>
      <c r="L428" s="1">
        <v>39</v>
      </c>
      <c r="M428" s="1">
        <f t="shared" si="46"/>
        <v>-184938</v>
      </c>
      <c r="N428" s="1">
        <f t="shared" si="47"/>
        <v>-439401</v>
      </c>
      <c r="O428" s="4">
        <f t="shared" si="43"/>
        <v>-2.3759368004412291</v>
      </c>
      <c r="P428" s="4">
        <f t="shared" si="44"/>
        <v>-300</v>
      </c>
      <c r="Q428" s="4">
        <f t="shared" si="45"/>
        <v>2.7036087769955336E-3</v>
      </c>
    </row>
    <row r="429" spans="1:17">
      <c r="A429" s="1" t="s">
        <v>86</v>
      </c>
      <c r="B429" s="1" t="s">
        <v>17</v>
      </c>
      <c r="C429" s="1" t="s">
        <v>15</v>
      </c>
      <c r="D429" s="1" t="s">
        <v>392</v>
      </c>
      <c r="E429" s="1">
        <v>35888</v>
      </c>
      <c r="F429" s="1">
        <v>108271</v>
      </c>
      <c r="G429" s="1">
        <f t="shared" si="42"/>
        <v>144159</v>
      </c>
      <c r="H429" s="1">
        <v>71864</v>
      </c>
      <c r="I429" s="1">
        <v>20</v>
      </c>
      <c r="J429" s="1">
        <v>142</v>
      </c>
      <c r="K429" s="1">
        <f t="shared" si="48"/>
        <v>10204688</v>
      </c>
      <c r="L429" s="1">
        <v>8</v>
      </c>
      <c r="M429" s="1">
        <f t="shared" si="46"/>
        <v>9629776</v>
      </c>
      <c r="N429" s="1">
        <f t="shared" si="47"/>
        <v>9485617</v>
      </c>
      <c r="O429" s="4">
        <f t="shared" si="43"/>
        <v>0.98502986985367058</v>
      </c>
      <c r="P429" s="4">
        <f t="shared" si="44"/>
        <v>5.9701492537313428</v>
      </c>
      <c r="Q429" s="4">
        <f t="shared" si="45"/>
        <v>1.9598835358807637E-4</v>
      </c>
    </row>
    <row r="430" spans="1:17">
      <c r="A430" s="1" t="s">
        <v>87</v>
      </c>
      <c r="B430" s="1" t="s">
        <v>26</v>
      </c>
      <c r="C430" s="1" t="s">
        <v>18</v>
      </c>
      <c r="D430" s="1" t="s">
        <v>392</v>
      </c>
      <c r="E430" s="1">
        <v>49478</v>
      </c>
      <c r="F430" s="1">
        <v>70797</v>
      </c>
      <c r="G430" s="1">
        <f t="shared" si="42"/>
        <v>120275</v>
      </c>
      <c r="H430" s="1">
        <v>82029</v>
      </c>
      <c r="I430" s="1">
        <v>20</v>
      </c>
      <c r="J430" s="1">
        <v>32</v>
      </c>
      <c r="K430" s="1">
        <f t="shared" si="48"/>
        <v>2624928</v>
      </c>
      <c r="L430" s="1">
        <v>21</v>
      </c>
      <c r="M430" s="1">
        <f t="shared" si="46"/>
        <v>902319</v>
      </c>
      <c r="N430" s="1">
        <f t="shared" si="47"/>
        <v>782044</v>
      </c>
      <c r="O430" s="4">
        <f t="shared" si="43"/>
        <v>0.86670456900497495</v>
      </c>
      <c r="P430" s="4">
        <f t="shared" si="44"/>
        <v>190.90909090909091</v>
      </c>
      <c r="Q430" s="4">
        <f t="shared" si="45"/>
        <v>7.6192566043716242E-4</v>
      </c>
    </row>
    <row r="431" spans="1:17">
      <c r="A431" s="1" t="s">
        <v>88</v>
      </c>
      <c r="B431" s="1" t="s">
        <v>17</v>
      </c>
      <c r="C431" s="1" t="s">
        <v>15</v>
      </c>
      <c r="D431" s="1" t="s">
        <v>392</v>
      </c>
      <c r="E431" s="1">
        <v>18363</v>
      </c>
      <c r="F431" s="1">
        <v>110835</v>
      </c>
      <c r="G431" s="1">
        <f t="shared" si="42"/>
        <v>129198</v>
      </c>
      <c r="H431" s="1">
        <v>72044</v>
      </c>
      <c r="I431" s="1">
        <v>15</v>
      </c>
      <c r="J431" s="1">
        <v>98</v>
      </c>
      <c r="K431" s="1">
        <f t="shared" si="48"/>
        <v>7060312</v>
      </c>
      <c r="L431" s="1">
        <v>18</v>
      </c>
      <c r="M431" s="1">
        <f t="shared" si="46"/>
        <v>5763520</v>
      </c>
      <c r="N431" s="1">
        <f t="shared" si="47"/>
        <v>5634322</v>
      </c>
      <c r="O431" s="4">
        <f t="shared" si="43"/>
        <v>0.97758349064460603</v>
      </c>
      <c r="P431" s="4">
        <f t="shared" si="44"/>
        <v>22.5</v>
      </c>
      <c r="Q431" s="4">
        <f t="shared" si="45"/>
        <v>2.1245520028010095E-4</v>
      </c>
    </row>
    <row r="432" spans="1:17">
      <c r="A432" s="1" t="s">
        <v>89</v>
      </c>
      <c r="B432" s="1" t="s">
        <v>20</v>
      </c>
      <c r="C432" s="1" t="s">
        <v>21</v>
      </c>
      <c r="D432" s="1" t="s">
        <v>392</v>
      </c>
      <c r="E432" s="1">
        <v>37388</v>
      </c>
      <c r="F432" s="1">
        <v>138366</v>
      </c>
      <c r="G432" s="1">
        <f t="shared" si="42"/>
        <v>175754</v>
      </c>
      <c r="H432" s="1">
        <v>24329</v>
      </c>
      <c r="I432" s="1">
        <v>15</v>
      </c>
      <c r="J432" s="1">
        <v>77</v>
      </c>
      <c r="K432" s="1">
        <f t="shared" si="48"/>
        <v>1873333</v>
      </c>
      <c r="L432" s="1">
        <v>17</v>
      </c>
      <c r="M432" s="1">
        <f t="shared" si="46"/>
        <v>1459740</v>
      </c>
      <c r="N432" s="1">
        <f t="shared" si="47"/>
        <v>1283986</v>
      </c>
      <c r="O432" s="4">
        <f t="shared" si="43"/>
        <v>0.87959910669023256</v>
      </c>
      <c r="P432" s="4">
        <f t="shared" si="44"/>
        <v>28.333333333333332</v>
      </c>
      <c r="Q432" s="4">
        <f t="shared" si="45"/>
        <v>8.0071188624766657E-4</v>
      </c>
    </row>
    <row r="433" spans="1:17">
      <c r="A433" s="1" t="s">
        <v>90</v>
      </c>
      <c r="B433" s="1" t="s">
        <v>26</v>
      </c>
      <c r="C433" s="1" t="s">
        <v>15</v>
      </c>
      <c r="D433" s="1" t="s">
        <v>392</v>
      </c>
      <c r="E433" s="1">
        <v>49343</v>
      </c>
      <c r="F433" s="1">
        <v>162005</v>
      </c>
      <c r="G433" s="1">
        <f t="shared" si="42"/>
        <v>211348</v>
      </c>
      <c r="H433" s="1">
        <v>56966</v>
      </c>
      <c r="I433" s="1">
        <v>15</v>
      </c>
      <c r="J433" s="1">
        <v>49</v>
      </c>
      <c r="K433" s="1">
        <f t="shared" si="48"/>
        <v>2791334</v>
      </c>
      <c r="L433" s="1">
        <v>11</v>
      </c>
      <c r="M433" s="1">
        <f t="shared" si="46"/>
        <v>2164708</v>
      </c>
      <c r="N433" s="1">
        <f t="shared" si="47"/>
        <v>1953360</v>
      </c>
      <c r="O433" s="4">
        <f t="shared" si="43"/>
        <v>0.90236650855450251</v>
      </c>
      <c r="P433" s="4">
        <f t="shared" si="44"/>
        <v>28.947368421052634</v>
      </c>
      <c r="Q433" s="4">
        <f t="shared" si="45"/>
        <v>5.373774689807812E-4</v>
      </c>
    </row>
    <row r="434" spans="1:17">
      <c r="A434" s="1" t="s">
        <v>91</v>
      </c>
      <c r="B434" s="1" t="s">
        <v>14</v>
      </c>
      <c r="C434" s="1" t="s">
        <v>18</v>
      </c>
      <c r="D434" s="1" t="s">
        <v>391</v>
      </c>
      <c r="E434" s="1">
        <v>48411</v>
      </c>
      <c r="F434" s="1">
        <v>178871</v>
      </c>
      <c r="G434" s="1">
        <f t="shared" si="42"/>
        <v>227282</v>
      </c>
      <c r="H434" s="1">
        <v>14070</v>
      </c>
      <c r="I434" s="1">
        <v>20</v>
      </c>
      <c r="J434" s="1">
        <v>33</v>
      </c>
      <c r="K434" s="1">
        <f t="shared" si="48"/>
        <v>464310</v>
      </c>
      <c r="L434" s="1">
        <v>39</v>
      </c>
      <c r="M434" s="1">
        <f t="shared" si="46"/>
        <v>-84420</v>
      </c>
      <c r="N434" s="1">
        <f t="shared" si="47"/>
        <v>-311702</v>
      </c>
      <c r="O434" s="4">
        <f t="shared" si="43"/>
        <v>-3.6922767116796966</v>
      </c>
      <c r="P434" s="4">
        <f t="shared" si="44"/>
        <v>-650</v>
      </c>
      <c r="Q434" s="4">
        <f t="shared" si="45"/>
        <v>4.3074669940341582E-3</v>
      </c>
    </row>
    <row r="435" spans="1:17">
      <c r="A435" s="1" t="s">
        <v>92</v>
      </c>
      <c r="B435" s="1" t="s">
        <v>17</v>
      </c>
      <c r="C435" s="1" t="s">
        <v>18</v>
      </c>
      <c r="D435" s="1" t="s">
        <v>392</v>
      </c>
      <c r="E435" s="1">
        <v>26258</v>
      </c>
      <c r="F435" s="1">
        <v>203828</v>
      </c>
      <c r="G435" s="1">
        <f t="shared" si="42"/>
        <v>230086</v>
      </c>
      <c r="H435" s="1">
        <v>39554</v>
      </c>
      <c r="I435" s="1">
        <v>0</v>
      </c>
      <c r="J435" s="1">
        <v>148</v>
      </c>
      <c r="K435" s="1">
        <f t="shared" si="48"/>
        <v>5853992</v>
      </c>
      <c r="L435" s="1">
        <v>27</v>
      </c>
      <c r="M435" s="1">
        <f t="shared" si="46"/>
        <v>4786034</v>
      </c>
      <c r="N435" s="1">
        <f t="shared" si="47"/>
        <v>4555948</v>
      </c>
      <c r="O435" s="4">
        <f t="shared" si="43"/>
        <v>0.95192554001914742</v>
      </c>
      <c r="P435" s="4">
        <f t="shared" si="44"/>
        <v>22.314049586776861</v>
      </c>
      <c r="Q435" s="4">
        <f t="shared" si="45"/>
        <v>0</v>
      </c>
    </row>
    <row r="436" spans="1:17">
      <c r="A436" s="1" t="s">
        <v>93</v>
      </c>
      <c r="B436" s="1" t="s">
        <v>26</v>
      </c>
      <c r="C436" s="1" t="s">
        <v>15</v>
      </c>
      <c r="D436" s="1" t="s">
        <v>391</v>
      </c>
      <c r="E436" s="1">
        <v>29082</v>
      </c>
      <c r="F436" s="1">
        <v>295291</v>
      </c>
      <c r="G436" s="1">
        <f t="shared" si="42"/>
        <v>324373</v>
      </c>
      <c r="H436" s="1">
        <v>34080</v>
      </c>
      <c r="I436" s="1">
        <v>5</v>
      </c>
      <c r="J436" s="1">
        <v>107</v>
      </c>
      <c r="K436" s="1">
        <f t="shared" si="48"/>
        <v>3646560</v>
      </c>
      <c r="L436" s="1">
        <v>36</v>
      </c>
      <c r="M436" s="1">
        <f t="shared" si="46"/>
        <v>2419680</v>
      </c>
      <c r="N436" s="1">
        <f t="shared" si="47"/>
        <v>2095307</v>
      </c>
      <c r="O436" s="4">
        <f t="shared" si="43"/>
        <v>0.86594384381405809</v>
      </c>
      <c r="P436" s="4">
        <f t="shared" si="44"/>
        <v>50.704225352112672</v>
      </c>
      <c r="Q436" s="4">
        <f t="shared" si="45"/>
        <v>1.3711552805932166E-4</v>
      </c>
    </row>
    <row r="437" spans="1:17">
      <c r="A437" s="1" t="s">
        <v>94</v>
      </c>
      <c r="B437" s="1" t="s">
        <v>20</v>
      </c>
      <c r="C437" s="1" t="s">
        <v>29</v>
      </c>
      <c r="D437" s="1" t="s">
        <v>392</v>
      </c>
      <c r="E437" s="1">
        <v>14426</v>
      </c>
      <c r="F437" s="1">
        <v>152189</v>
      </c>
      <c r="G437" s="1">
        <f t="shared" si="42"/>
        <v>166615</v>
      </c>
      <c r="H437" s="1">
        <v>39331</v>
      </c>
      <c r="I437" s="1">
        <v>5</v>
      </c>
      <c r="J437" s="1">
        <v>24</v>
      </c>
      <c r="K437" s="1">
        <f t="shared" si="48"/>
        <v>943944</v>
      </c>
      <c r="L437" s="1">
        <v>9</v>
      </c>
      <c r="M437" s="1">
        <f t="shared" si="46"/>
        <v>589965</v>
      </c>
      <c r="N437" s="1">
        <f t="shared" si="47"/>
        <v>423350</v>
      </c>
      <c r="O437" s="4">
        <f t="shared" si="43"/>
        <v>0.7175849414795793</v>
      </c>
      <c r="P437" s="4">
        <f t="shared" si="44"/>
        <v>60</v>
      </c>
      <c r="Q437" s="4">
        <f t="shared" si="45"/>
        <v>5.2969243938199727E-4</v>
      </c>
    </row>
    <row r="438" spans="1:17">
      <c r="A438" s="1" t="s">
        <v>95</v>
      </c>
      <c r="B438" s="1" t="s">
        <v>14</v>
      </c>
      <c r="C438" s="1" t="s">
        <v>21</v>
      </c>
      <c r="D438" s="1" t="s">
        <v>391</v>
      </c>
      <c r="E438" s="1">
        <v>31170</v>
      </c>
      <c r="F438" s="1">
        <v>164325</v>
      </c>
      <c r="G438" s="1">
        <f t="shared" si="42"/>
        <v>195495</v>
      </c>
      <c r="H438" s="1">
        <v>78706</v>
      </c>
      <c r="I438" s="1">
        <v>15</v>
      </c>
      <c r="J438" s="1">
        <v>123</v>
      </c>
      <c r="K438" s="1">
        <f t="shared" si="48"/>
        <v>9680838</v>
      </c>
      <c r="L438" s="1">
        <v>18</v>
      </c>
      <c r="M438" s="1">
        <f t="shared" si="46"/>
        <v>8264130</v>
      </c>
      <c r="N438" s="1">
        <f t="shared" si="47"/>
        <v>8068635</v>
      </c>
      <c r="O438" s="4">
        <f t="shared" si="43"/>
        <v>0.97634415237901628</v>
      </c>
      <c r="P438" s="4">
        <f t="shared" si="44"/>
        <v>17.142857142857142</v>
      </c>
      <c r="Q438" s="4">
        <f t="shared" si="45"/>
        <v>1.5494526403602663E-4</v>
      </c>
    </row>
    <row r="439" spans="1:17">
      <c r="A439" s="1" t="s">
        <v>96</v>
      </c>
      <c r="B439" s="1" t="s">
        <v>17</v>
      </c>
      <c r="C439" s="1" t="s">
        <v>15</v>
      </c>
      <c r="D439" s="1" t="s">
        <v>391</v>
      </c>
      <c r="E439" s="1">
        <v>35168</v>
      </c>
      <c r="F439" s="1">
        <v>218583</v>
      </c>
      <c r="G439" s="1">
        <f t="shared" si="42"/>
        <v>253751</v>
      </c>
      <c r="H439" s="1">
        <v>60732</v>
      </c>
      <c r="I439" s="1">
        <v>20</v>
      </c>
      <c r="J439" s="1">
        <v>125</v>
      </c>
      <c r="K439" s="1">
        <f t="shared" si="48"/>
        <v>7591500</v>
      </c>
      <c r="L439" s="1">
        <v>17</v>
      </c>
      <c r="M439" s="1">
        <f t="shared" si="46"/>
        <v>6559056</v>
      </c>
      <c r="N439" s="1">
        <f t="shared" si="47"/>
        <v>6305305</v>
      </c>
      <c r="O439" s="4">
        <f t="shared" si="43"/>
        <v>0.96131287795072951</v>
      </c>
      <c r="P439" s="4">
        <f t="shared" si="44"/>
        <v>15.74074074074074</v>
      </c>
      <c r="Q439" s="4">
        <f t="shared" si="45"/>
        <v>2.6345254561022194E-4</v>
      </c>
    </row>
    <row r="440" spans="1:17">
      <c r="A440" s="1" t="s">
        <v>97</v>
      </c>
      <c r="B440" s="1" t="s">
        <v>17</v>
      </c>
      <c r="C440" s="1" t="s">
        <v>15</v>
      </c>
      <c r="D440" s="1" t="s">
        <v>392</v>
      </c>
      <c r="E440" s="1">
        <v>5681</v>
      </c>
      <c r="F440" s="1">
        <v>174061</v>
      </c>
      <c r="G440" s="1">
        <f t="shared" si="42"/>
        <v>179742</v>
      </c>
      <c r="H440" s="1">
        <v>15771</v>
      </c>
      <c r="I440" s="1">
        <v>0</v>
      </c>
      <c r="J440" s="1">
        <v>52</v>
      </c>
      <c r="K440" s="1">
        <f t="shared" si="48"/>
        <v>820092</v>
      </c>
      <c r="L440" s="1">
        <v>31</v>
      </c>
      <c r="M440" s="1">
        <f t="shared" si="46"/>
        <v>331191</v>
      </c>
      <c r="N440" s="1">
        <f t="shared" si="47"/>
        <v>151449</v>
      </c>
      <c r="O440" s="4">
        <f t="shared" si="43"/>
        <v>0.45728597697401197</v>
      </c>
      <c r="P440" s="4">
        <f t="shared" si="44"/>
        <v>147.61904761904762</v>
      </c>
      <c r="Q440" s="4">
        <f t="shared" si="45"/>
        <v>0</v>
      </c>
    </row>
    <row r="441" spans="1:17">
      <c r="A441" s="1" t="s">
        <v>98</v>
      </c>
      <c r="B441" s="1" t="s">
        <v>26</v>
      </c>
      <c r="C441" s="1" t="s">
        <v>29</v>
      </c>
      <c r="D441" s="1" t="s">
        <v>392</v>
      </c>
      <c r="E441" s="1">
        <v>25899</v>
      </c>
      <c r="F441" s="1">
        <v>187346</v>
      </c>
      <c r="G441" s="1">
        <f t="shared" si="42"/>
        <v>213245</v>
      </c>
      <c r="H441" s="1">
        <v>23426</v>
      </c>
      <c r="I441" s="1">
        <v>20</v>
      </c>
      <c r="J441" s="1">
        <v>141</v>
      </c>
      <c r="K441" s="1">
        <f t="shared" si="48"/>
        <v>3303066</v>
      </c>
      <c r="L441" s="1">
        <v>30</v>
      </c>
      <c r="M441" s="1">
        <f t="shared" si="46"/>
        <v>2600286</v>
      </c>
      <c r="N441" s="1">
        <f t="shared" si="47"/>
        <v>2387041</v>
      </c>
      <c r="O441" s="4">
        <f t="shared" si="43"/>
        <v>0.91799171321923823</v>
      </c>
      <c r="P441" s="4">
        <f t="shared" si="44"/>
        <v>27.027027027027028</v>
      </c>
      <c r="Q441" s="4">
        <f t="shared" si="45"/>
        <v>6.0549804333307302E-4</v>
      </c>
    </row>
    <row r="442" spans="1:17">
      <c r="A442" s="1" t="s">
        <v>99</v>
      </c>
      <c r="B442" s="1" t="s">
        <v>26</v>
      </c>
      <c r="C442" s="1" t="s">
        <v>74</v>
      </c>
      <c r="D442" s="1" t="s">
        <v>392</v>
      </c>
      <c r="E442" s="1">
        <v>46311</v>
      </c>
      <c r="F442" s="1">
        <v>69042</v>
      </c>
      <c r="G442" s="1">
        <f t="shared" si="42"/>
        <v>115353</v>
      </c>
      <c r="H442" s="1">
        <v>53046</v>
      </c>
      <c r="I442" s="1">
        <v>5</v>
      </c>
      <c r="J442" s="1">
        <v>55</v>
      </c>
      <c r="K442" s="1">
        <f t="shared" si="48"/>
        <v>2917530</v>
      </c>
      <c r="L442" s="1">
        <v>3</v>
      </c>
      <c r="M442" s="1">
        <f t="shared" si="46"/>
        <v>2758392</v>
      </c>
      <c r="N442" s="1">
        <f t="shared" si="47"/>
        <v>2643039</v>
      </c>
      <c r="O442" s="4">
        <f t="shared" si="43"/>
        <v>0.95818107071076197</v>
      </c>
      <c r="P442" s="4">
        <f t="shared" si="44"/>
        <v>5.7692307692307692</v>
      </c>
      <c r="Q442" s="4">
        <f t="shared" si="45"/>
        <v>1.7137784358686972E-4</v>
      </c>
    </row>
    <row r="443" spans="1:17">
      <c r="A443" s="1" t="s">
        <v>100</v>
      </c>
      <c r="B443" s="1" t="s">
        <v>20</v>
      </c>
      <c r="C443" s="1" t="s">
        <v>18</v>
      </c>
      <c r="D443" s="1" t="s">
        <v>392</v>
      </c>
      <c r="E443" s="1">
        <v>34162</v>
      </c>
      <c r="F443" s="1">
        <v>70103</v>
      </c>
      <c r="G443" s="1">
        <f t="shared" si="42"/>
        <v>104265</v>
      </c>
      <c r="H443" s="1">
        <v>78975</v>
      </c>
      <c r="I443" s="1">
        <v>20</v>
      </c>
      <c r="J443" s="1">
        <v>34</v>
      </c>
      <c r="K443" s="1">
        <f t="shared" si="48"/>
        <v>2685150</v>
      </c>
      <c r="L443" s="1">
        <v>0</v>
      </c>
      <c r="M443" s="1">
        <f t="shared" si="46"/>
        <v>2685150</v>
      </c>
      <c r="N443" s="1">
        <f t="shared" si="47"/>
        <v>2580885</v>
      </c>
      <c r="O443" s="4">
        <f t="shared" si="43"/>
        <v>0.96116976705211998</v>
      </c>
      <c r="P443" s="4">
        <f t="shared" si="44"/>
        <v>0</v>
      </c>
      <c r="Q443" s="4">
        <f t="shared" si="45"/>
        <v>7.4483734614453571E-4</v>
      </c>
    </row>
    <row r="444" spans="1:17">
      <c r="A444" s="1" t="s">
        <v>101</v>
      </c>
      <c r="B444" s="1" t="s">
        <v>14</v>
      </c>
      <c r="C444" s="1" t="s">
        <v>18</v>
      </c>
      <c r="D444" s="1" t="s">
        <v>392</v>
      </c>
      <c r="E444" s="1">
        <v>49480</v>
      </c>
      <c r="F444" s="1">
        <v>183461</v>
      </c>
      <c r="G444" s="1">
        <f t="shared" si="42"/>
        <v>232941</v>
      </c>
      <c r="H444" s="1">
        <v>43845</v>
      </c>
      <c r="I444" s="1">
        <v>0</v>
      </c>
      <c r="J444" s="1">
        <v>138</v>
      </c>
      <c r="K444" s="1">
        <f t="shared" si="48"/>
        <v>6050610</v>
      </c>
      <c r="L444" s="1">
        <v>24</v>
      </c>
      <c r="M444" s="1">
        <f t="shared" si="46"/>
        <v>4998330</v>
      </c>
      <c r="N444" s="1">
        <f t="shared" si="47"/>
        <v>4765389</v>
      </c>
      <c r="O444" s="4">
        <f t="shared" si="43"/>
        <v>0.95339623434227028</v>
      </c>
      <c r="P444" s="4">
        <f t="shared" si="44"/>
        <v>21.052631578947366</v>
      </c>
      <c r="Q444" s="4">
        <f t="shared" si="45"/>
        <v>0</v>
      </c>
    </row>
    <row r="445" spans="1:17">
      <c r="A445" s="1" t="s">
        <v>102</v>
      </c>
      <c r="B445" s="1" t="s">
        <v>26</v>
      </c>
      <c r="C445" s="1" t="s">
        <v>18</v>
      </c>
      <c r="D445" s="1" t="s">
        <v>392</v>
      </c>
      <c r="E445" s="1">
        <v>9335</v>
      </c>
      <c r="F445" s="1">
        <v>88329</v>
      </c>
      <c r="G445" s="1">
        <f t="shared" si="42"/>
        <v>97664</v>
      </c>
      <c r="H445" s="1">
        <v>38775</v>
      </c>
      <c r="I445" s="1">
        <v>20</v>
      </c>
      <c r="J445" s="1">
        <v>83</v>
      </c>
      <c r="K445" s="1">
        <f t="shared" si="48"/>
        <v>3218325</v>
      </c>
      <c r="L445" s="1">
        <v>6</v>
      </c>
      <c r="M445" s="1">
        <f t="shared" si="46"/>
        <v>2985675</v>
      </c>
      <c r="N445" s="1">
        <f t="shared" si="47"/>
        <v>2888011</v>
      </c>
      <c r="O445" s="4">
        <f t="shared" si="43"/>
        <v>0.96728913897192426</v>
      </c>
      <c r="P445" s="4">
        <f t="shared" si="44"/>
        <v>7.7922077922077921</v>
      </c>
      <c r="Q445" s="4">
        <f t="shared" si="45"/>
        <v>6.2144127768326693E-4</v>
      </c>
    </row>
    <row r="446" spans="1:17">
      <c r="A446" s="1" t="s">
        <v>103</v>
      </c>
      <c r="B446" s="1" t="s">
        <v>14</v>
      </c>
      <c r="C446" s="1" t="s">
        <v>21</v>
      </c>
      <c r="D446" s="1" t="s">
        <v>391</v>
      </c>
      <c r="E446" s="1">
        <v>28117</v>
      </c>
      <c r="F446" s="1">
        <v>199244</v>
      </c>
      <c r="G446" s="1">
        <f t="shared" si="42"/>
        <v>227361</v>
      </c>
      <c r="H446" s="1">
        <v>36521</v>
      </c>
      <c r="I446" s="1">
        <v>5</v>
      </c>
      <c r="J446" s="1">
        <v>23</v>
      </c>
      <c r="K446" s="1">
        <f t="shared" si="48"/>
        <v>839983</v>
      </c>
      <c r="L446" s="1">
        <v>34</v>
      </c>
      <c r="M446" s="1">
        <f t="shared" si="46"/>
        <v>-401731</v>
      </c>
      <c r="N446" s="1">
        <f t="shared" si="47"/>
        <v>-629092</v>
      </c>
      <c r="O446" s="4">
        <f t="shared" si="43"/>
        <v>-1.5659533369344163</v>
      </c>
      <c r="P446" s="4">
        <f t="shared" si="44"/>
        <v>-309.09090909090907</v>
      </c>
      <c r="Q446" s="4">
        <f t="shared" si="45"/>
        <v>5.9525014196715881E-4</v>
      </c>
    </row>
    <row r="447" spans="1:17">
      <c r="A447" s="1" t="s">
        <v>104</v>
      </c>
      <c r="B447" s="1" t="s">
        <v>20</v>
      </c>
      <c r="C447" s="1" t="s">
        <v>21</v>
      </c>
      <c r="D447" s="1" t="s">
        <v>392</v>
      </c>
      <c r="E447" s="1">
        <v>23326</v>
      </c>
      <c r="F447" s="1">
        <v>351910</v>
      </c>
      <c r="G447" s="1">
        <f t="shared" si="42"/>
        <v>375236</v>
      </c>
      <c r="H447" s="1">
        <v>30274</v>
      </c>
      <c r="I447" s="1">
        <v>5</v>
      </c>
      <c r="J447" s="1">
        <v>67</v>
      </c>
      <c r="K447" s="1">
        <f t="shared" si="48"/>
        <v>2028358</v>
      </c>
      <c r="L447" s="1">
        <v>39</v>
      </c>
      <c r="M447" s="1">
        <f t="shared" si="46"/>
        <v>847672</v>
      </c>
      <c r="N447" s="1">
        <f t="shared" si="47"/>
        <v>472436</v>
      </c>
      <c r="O447" s="4">
        <f t="shared" si="43"/>
        <v>0.55733349691861944</v>
      </c>
      <c r="P447" s="4">
        <f t="shared" si="44"/>
        <v>139.28571428571428</v>
      </c>
      <c r="Q447" s="4">
        <f t="shared" si="45"/>
        <v>2.4650480832279112E-4</v>
      </c>
    </row>
    <row r="448" spans="1:17">
      <c r="A448" s="1" t="s">
        <v>105</v>
      </c>
      <c r="B448" s="1" t="s">
        <v>14</v>
      </c>
      <c r="C448" s="1" t="s">
        <v>15</v>
      </c>
      <c r="D448" s="1" t="s">
        <v>392</v>
      </c>
      <c r="E448" s="1">
        <v>42886</v>
      </c>
      <c r="F448" s="1">
        <v>201902</v>
      </c>
      <c r="G448" s="1">
        <f t="shared" si="42"/>
        <v>244788</v>
      </c>
      <c r="H448" s="1">
        <v>21412</v>
      </c>
      <c r="I448" s="1">
        <v>20</v>
      </c>
      <c r="J448" s="1">
        <v>130</v>
      </c>
      <c r="K448" s="1">
        <f t="shared" si="48"/>
        <v>2783560</v>
      </c>
      <c r="L448" s="1">
        <v>9</v>
      </c>
      <c r="M448" s="1">
        <f t="shared" si="46"/>
        <v>2590852</v>
      </c>
      <c r="N448" s="1">
        <f t="shared" si="47"/>
        <v>2346064</v>
      </c>
      <c r="O448" s="4">
        <f t="shared" si="43"/>
        <v>0.9055183391409467</v>
      </c>
      <c r="P448" s="4">
        <f t="shared" si="44"/>
        <v>7.4380165289256199</v>
      </c>
      <c r="Q448" s="4">
        <f t="shared" si="45"/>
        <v>7.185043613214733E-4</v>
      </c>
    </row>
    <row r="449" spans="1:17">
      <c r="A449" s="1" t="s">
        <v>106</v>
      </c>
      <c r="B449" s="1" t="s">
        <v>14</v>
      </c>
      <c r="C449" s="1" t="s">
        <v>15</v>
      </c>
      <c r="D449" s="1" t="s">
        <v>392</v>
      </c>
      <c r="E449" s="1">
        <v>10556</v>
      </c>
      <c r="F449" s="1">
        <v>295101</v>
      </c>
      <c r="G449" s="1">
        <f t="shared" si="42"/>
        <v>305657</v>
      </c>
      <c r="H449" s="1">
        <v>27698</v>
      </c>
      <c r="I449" s="1">
        <v>5</v>
      </c>
      <c r="J449" s="1">
        <v>73</v>
      </c>
      <c r="K449" s="1">
        <f t="shared" si="48"/>
        <v>2021954</v>
      </c>
      <c r="L449" s="1">
        <v>30</v>
      </c>
      <c r="M449" s="1">
        <f t="shared" si="46"/>
        <v>1191014</v>
      </c>
      <c r="N449" s="1">
        <f t="shared" si="47"/>
        <v>885357</v>
      </c>
      <c r="O449" s="4">
        <f t="shared" si="43"/>
        <v>0.74336405785322424</v>
      </c>
      <c r="P449" s="4">
        <f t="shared" si="44"/>
        <v>69.767441860465112</v>
      </c>
      <c r="Q449" s="4">
        <f t="shared" si="45"/>
        <v>2.4728554655546069E-4</v>
      </c>
    </row>
    <row r="450" spans="1:17">
      <c r="A450" s="1" t="s">
        <v>107</v>
      </c>
      <c r="B450" s="1" t="s">
        <v>14</v>
      </c>
      <c r="C450" s="1" t="s">
        <v>21</v>
      </c>
      <c r="D450" s="1" t="s">
        <v>391</v>
      </c>
      <c r="E450" s="1">
        <v>20788</v>
      </c>
      <c r="F450" s="1">
        <v>87621</v>
      </c>
      <c r="G450" s="1">
        <f t="shared" si="42"/>
        <v>108409</v>
      </c>
      <c r="H450" s="1">
        <v>37748</v>
      </c>
      <c r="I450" s="1">
        <v>10</v>
      </c>
      <c r="J450" s="1">
        <v>24</v>
      </c>
      <c r="K450" s="1">
        <f t="shared" si="48"/>
        <v>905952</v>
      </c>
      <c r="L450" s="1">
        <v>40</v>
      </c>
      <c r="M450" s="1">
        <f t="shared" si="46"/>
        <v>-603968</v>
      </c>
      <c r="N450" s="1">
        <f t="shared" si="47"/>
        <v>-712377</v>
      </c>
      <c r="O450" s="4">
        <f t="shared" si="43"/>
        <v>-1.1794946089859066</v>
      </c>
      <c r="P450" s="4">
        <f t="shared" si="44"/>
        <v>-250</v>
      </c>
      <c r="Q450" s="4">
        <f t="shared" si="45"/>
        <v>1.1038112394475645E-3</v>
      </c>
    </row>
    <row r="451" spans="1:17">
      <c r="A451" s="1" t="s">
        <v>108</v>
      </c>
      <c r="B451" s="1" t="s">
        <v>14</v>
      </c>
      <c r="C451" s="1" t="s">
        <v>18</v>
      </c>
      <c r="D451" s="1" t="s">
        <v>391</v>
      </c>
      <c r="E451" s="1">
        <v>43087</v>
      </c>
      <c r="F451" s="1">
        <v>299992</v>
      </c>
      <c r="G451" s="1">
        <f t="shared" ref="G451:G514" si="49">E451+F451</f>
        <v>343079</v>
      </c>
      <c r="H451" s="1">
        <v>48132</v>
      </c>
      <c r="I451" s="1">
        <v>15</v>
      </c>
      <c r="J451" s="1">
        <v>47</v>
      </c>
      <c r="K451" s="1">
        <f t="shared" si="48"/>
        <v>2262204</v>
      </c>
      <c r="L451" s="1">
        <v>31</v>
      </c>
      <c r="M451" s="1">
        <f t="shared" si="46"/>
        <v>770112</v>
      </c>
      <c r="N451" s="1">
        <f t="shared" si="47"/>
        <v>427033</v>
      </c>
      <c r="O451" s="4">
        <f t="shared" ref="O451:O514" si="50">SUM(N451/ABS(M451))</f>
        <v>0.55450765602925289</v>
      </c>
      <c r="P451" s="4">
        <f t="shared" ref="P451:P514" si="51">SUM(H451*L451)/M451*100</f>
        <v>193.75</v>
      </c>
      <c r="Q451" s="4">
        <f t="shared" ref="Q451:Q514" si="52">I451/K451*100</f>
        <v>6.6307017404265928E-4</v>
      </c>
    </row>
    <row r="452" spans="1:17">
      <c r="A452" s="1" t="s">
        <v>109</v>
      </c>
      <c r="B452" s="1" t="s">
        <v>14</v>
      </c>
      <c r="C452" s="1" t="s">
        <v>18</v>
      </c>
      <c r="D452" s="1" t="s">
        <v>391</v>
      </c>
      <c r="E452" s="1">
        <v>48210</v>
      </c>
      <c r="F452" s="1">
        <v>105132</v>
      </c>
      <c r="G452" s="1">
        <f t="shared" si="49"/>
        <v>153342</v>
      </c>
      <c r="H452" s="1">
        <v>75905</v>
      </c>
      <c r="I452" s="1">
        <v>15</v>
      </c>
      <c r="J452" s="1">
        <v>99</v>
      </c>
      <c r="K452" s="1">
        <f t="shared" si="48"/>
        <v>7514595</v>
      </c>
      <c r="L452" s="1">
        <v>33</v>
      </c>
      <c r="M452" s="1">
        <f t="shared" ref="M452:M515" si="53">K452-H452*L452</f>
        <v>5009730</v>
      </c>
      <c r="N452" s="1">
        <f t="shared" ref="N452:N515" si="54">M452-G452</f>
        <v>4856388</v>
      </c>
      <c r="O452" s="4">
        <f t="shared" si="50"/>
        <v>0.96939116479331222</v>
      </c>
      <c r="P452" s="4">
        <f t="shared" si="51"/>
        <v>50</v>
      </c>
      <c r="Q452" s="4">
        <f t="shared" si="52"/>
        <v>1.9961155591219487E-4</v>
      </c>
    </row>
    <row r="453" spans="1:17">
      <c r="A453" s="1" t="s">
        <v>110</v>
      </c>
      <c r="B453" s="1" t="s">
        <v>26</v>
      </c>
      <c r="C453" s="1" t="s">
        <v>15</v>
      </c>
      <c r="D453" s="1" t="s">
        <v>391</v>
      </c>
      <c r="E453" s="1">
        <v>45895</v>
      </c>
      <c r="F453" s="1">
        <v>140437</v>
      </c>
      <c r="G453" s="1">
        <f t="shared" si="49"/>
        <v>186332</v>
      </c>
      <c r="H453" s="1">
        <v>56277</v>
      </c>
      <c r="I453" s="1">
        <v>0</v>
      </c>
      <c r="J453" s="1">
        <v>23</v>
      </c>
      <c r="K453" s="1">
        <f t="shared" ref="K453:K516" si="55">H453*J453</f>
        <v>1294371</v>
      </c>
      <c r="L453" s="1">
        <v>34</v>
      </c>
      <c r="M453" s="1">
        <f t="shared" si="53"/>
        <v>-619047</v>
      </c>
      <c r="N453" s="1">
        <f t="shared" si="54"/>
        <v>-805379</v>
      </c>
      <c r="O453" s="4">
        <f t="shared" si="50"/>
        <v>-1.3009981471519934</v>
      </c>
      <c r="P453" s="4">
        <f t="shared" si="51"/>
        <v>-309.09090909090907</v>
      </c>
      <c r="Q453" s="4">
        <f t="shared" si="52"/>
        <v>0</v>
      </c>
    </row>
    <row r="454" spans="1:17">
      <c r="A454" s="1" t="s">
        <v>111</v>
      </c>
      <c r="B454" s="1" t="s">
        <v>17</v>
      </c>
      <c r="C454" s="1" t="s">
        <v>21</v>
      </c>
      <c r="D454" s="1" t="s">
        <v>392</v>
      </c>
      <c r="E454" s="1">
        <v>17029</v>
      </c>
      <c r="F454" s="1">
        <v>211506</v>
      </c>
      <c r="G454" s="1">
        <f t="shared" si="49"/>
        <v>228535</v>
      </c>
      <c r="H454" s="1">
        <v>17039</v>
      </c>
      <c r="I454" s="1">
        <v>5</v>
      </c>
      <c r="J454" s="1">
        <v>73</v>
      </c>
      <c r="K454" s="1">
        <f t="shared" si="55"/>
        <v>1243847</v>
      </c>
      <c r="L454" s="1">
        <v>12</v>
      </c>
      <c r="M454" s="1">
        <f t="shared" si="53"/>
        <v>1039379</v>
      </c>
      <c r="N454" s="1">
        <f t="shared" si="54"/>
        <v>810844</v>
      </c>
      <c r="O454" s="4">
        <f t="shared" si="50"/>
        <v>0.78012351606103258</v>
      </c>
      <c r="P454" s="4">
        <f t="shared" si="51"/>
        <v>19.672131147540984</v>
      </c>
      <c r="Q454" s="4">
        <f t="shared" si="52"/>
        <v>4.0197869995264689E-4</v>
      </c>
    </row>
    <row r="455" spans="1:17">
      <c r="A455" s="1" t="s">
        <v>112</v>
      </c>
      <c r="B455" s="1" t="s">
        <v>26</v>
      </c>
      <c r="C455" s="1" t="s">
        <v>31</v>
      </c>
      <c r="D455" s="1" t="s">
        <v>391</v>
      </c>
      <c r="E455" s="1">
        <v>36469</v>
      </c>
      <c r="F455" s="1">
        <v>222200</v>
      </c>
      <c r="G455" s="1">
        <f t="shared" si="49"/>
        <v>258669</v>
      </c>
      <c r="H455" s="1">
        <v>20110</v>
      </c>
      <c r="I455" s="1">
        <v>5</v>
      </c>
      <c r="J455" s="1">
        <v>148</v>
      </c>
      <c r="K455" s="1">
        <f t="shared" si="55"/>
        <v>2976280</v>
      </c>
      <c r="L455" s="1">
        <v>22</v>
      </c>
      <c r="M455" s="1">
        <f t="shared" si="53"/>
        <v>2533860</v>
      </c>
      <c r="N455" s="1">
        <f t="shared" si="54"/>
        <v>2275191</v>
      </c>
      <c r="O455" s="4">
        <f t="shared" si="50"/>
        <v>0.89791503871563538</v>
      </c>
      <c r="P455" s="4">
        <f t="shared" si="51"/>
        <v>17.460317460317459</v>
      </c>
      <c r="Q455" s="4">
        <f t="shared" si="52"/>
        <v>1.679949467120029E-4</v>
      </c>
    </row>
    <row r="456" spans="1:17">
      <c r="A456" s="1" t="s">
        <v>113</v>
      </c>
      <c r="B456" s="1" t="s">
        <v>26</v>
      </c>
      <c r="C456" s="1" t="s">
        <v>15</v>
      </c>
      <c r="D456" s="1" t="s">
        <v>391</v>
      </c>
      <c r="E456" s="1">
        <v>48682</v>
      </c>
      <c r="F456" s="1">
        <v>377759</v>
      </c>
      <c r="G456" s="1">
        <f t="shared" si="49"/>
        <v>426441</v>
      </c>
      <c r="H456" s="1">
        <v>17321</v>
      </c>
      <c r="I456" s="1">
        <v>20</v>
      </c>
      <c r="J456" s="1">
        <v>89</v>
      </c>
      <c r="K456" s="1">
        <f t="shared" si="55"/>
        <v>1541569</v>
      </c>
      <c r="L456" s="1">
        <v>40</v>
      </c>
      <c r="M456" s="1">
        <f t="shared" si="53"/>
        <v>848729</v>
      </c>
      <c r="N456" s="1">
        <f t="shared" si="54"/>
        <v>422288</v>
      </c>
      <c r="O456" s="4">
        <f t="shared" si="50"/>
        <v>0.49755340043759549</v>
      </c>
      <c r="P456" s="4">
        <f t="shared" si="51"/>
        <v>81.632653061224488</v>
      </c>
      <c r="Q456" s="4">
        <f t="shared" si="52"/>
        <v>1.2973794880410802E-3</v>
      </c>
    </row>
    <row r="457" spans="1:17">
      <c r="A457" s="1" t="s">
        <v>22</v>
      </c>
      <c r="B457" s="1" t="s">
        <v>14</v>
      </c>
      <c r="C457" s="1" t="s">
        <v>18</v>
      </c>
      <c r="D457" s="1" t="s">
        <v>392</v>
      </c>
      <c r="E457" s="1">
        <v>17168</v>
      </c>
      <c r="F457" s="1">
        <v>177686</v>
      </c>
      <c r="G457" s="1">
        <f t="shared" si="49"/>
        <v>194854</v>
      </c>
      <c r="H457" s="1">
        <v>43609</v>
      </c>
      <c r="I457" s="1">
        <v>15</v>
      </c>
      <c r="J457" s="1">
        <v>100</v>
      </c>
      <c r="K457" s="1">
        <f t="shared" si="55"/>
        <v>4360900</v>
      </c>
      <c r="L457" s="1">
        <v>31</v>
      </c>
      <c r="M457" s="1">
        <f t="shared" si="53"/>
        <v>3009021</v>
      </c>
      <c r="N457" s="1">
        <f t="shared" si="54"/>
        <v>2814167</v>
      </c>
      <c r="O457" s="4">
        <f t="shared" si="50"/>
        <v>0.93524338979355748</v>
      </c>
      <c r="P457" s="4">
        <f t="shared" si="51"/>
        <v>44.927536231884055</v>
      </c>
      <c r="Q457" s="4">
        <f t="shared" si="52"/>
        <v>3.4396569515466989E-4</v>
      </c>
    </row>
    <row r="458" spans="1:17">
      <c r="A458" s="1" t="s">
        <v>114</v>
      </c>
      <c r="B458" s="1" t="s">
        <v>17</v>
      </c>
      <c r="C458" s="1" t="s">
        <v>15</v>
      </c>
      <c r="D458" s="1" t="s">
        <v>392</v>
      </c>
      <c r="E458" s="1">
        <v>6983</v>
      </c>
      <c r="F458" s="1">
        <v>386673</v>
      </c>
      <c r="G458" s="1">
        <f t="shared" si="49"/>
        <v>393656</v>
      </c>
      <c r="H458" s="1">
        <v>74943</v>
      </c>
      <c r="I458" s="1">
        <v>0</v>
      </c>
      <c r="J458" s="1">
        <v>132</v>
      </c>
      <c r="K458" s="1">
        <f t="shared" si="55"/>
        <v>9892476</v>
      </c>
      <c r="L458" s="1">
        <v>2</v>
      </c>
      <c r="M458" s="1">
        <f t="shared" si="53"/>
        <v>9742590</v>
      </c>
      <c r="N458" s="1">
        <f t="shared" si="54"/>
        <v>9348934</v>
      </c>
      <c r="O458" s="4">
        <f t="shared" si="50"/>
        <v>0.95959431732219047</v>
      </c>
      <c r="P458" s="4">
        <f t="shared" si="51"/>
        <v>1.5384615384615385</v>
      </c>
      <c r="Q458" s="4">
        <f t="shared" si="52"/>
        <v>0</v>
      </c>
    </row>
    <row r="459" spans="1:17">
      <c r="A459" s="1" t="s">
        <v>115</v>
      </c>
      <c r="B459" s="1" t="s">
        <v>17</v>
      </c>
      <c r="C459" s="1" t="s">
        <v>15</v>
      </c>
      <c r="D459" s="1" t="s">
        <v>391</v>
      </c>
      <c r="E459" s="1">
        <v>42559</v>
      </c>
      <c r="F459" s="1">
        <v>113638</v>
      </c>
      <c r="G459" s="1">
        <f t="shared" si="49"/>
        <v>156197</v>
      </c>
      <c r="H459" s="1">
        <v>43636</v>
      </c>
      <c r="I459" s="1">
        <v>5</v>
      </c>
      <c r="J459" s="1">
        <v>117</v>
      </c>
      <c r="K459" s="1">
        <f t="shared" si="55"/>
        <v>5105412</v>
      </c>
      <c r="L459" s="1">
        <v>4</v>
      </c>
      <c r="M459" s="1">
        <f t="shared" si="53"/>
        <v>4930868</v>
      </c>
      <c r="N459" s="1">
        <f t="shared" si="54"/>
        <v>4774671</v>
      </c>
      <c r="O459" s="4">
        <f t="shared" si="50"/>
        <v>0.96832261581530876</v>
      </c>
      <c r="P459" s="4">
        <f t="shared" si="51"/>
        <v>3.5398230088495577</v>
      </c>
      <c r="Q459" s="4">
        <f t="shared" si="52"/>
        <v>9.7935289061881775E-5</v>
      </c>
    </row>
    <row r="460" spans="1:17">
      <c r="A460" s="1" t="s">
        <v>116</v>
      </c>
      <c r="B460" s="1" t="s">
        <v>26</v>
      </c>
      <c r="C460" s="1" t="s">
        <v>38</v>
      </c>
      <c r="D460" s="1" t="s">
        <v>392</v>
      </c>
      <c r="E460" s="1">
        <v>7029</v>
      </c>
      <c r="F460" s="1">
        <v>186009</v>
      </c>
      <c r="G460" s="1">
        <f t="shared" si="49"/>
        <v>193038</v>
      </c>
      <c r="H460" s="1">
        <v>20795</v>
      </c>
      <c r="I460" s="1">
        <v>0</v>
      </c>
      <c r="J460" s="1">
        <v>113</v>
      </c>
      <c r="K460" s="1">
        <f t="shared" si="55"/>
        <v>2349835</v>
      </c>
      <c r="L460" s="1">
        <v>30</v>
      </c>
      <c r="M460" s="1">
        <f t="shared" si="53"/>
        <v>1725985</v>
      </c>
      <c r="N460" s="1">
        <f t="shared" si="54"/>
        <v>1532947</v>
      </c>
      <c r="O460" s="4">
        <f t="shared" si="50"/>
        <v>0.88815777657395634</v>
      </c>
      <c r="P460" s="4">
        <f t="shared" si="51"/>
        <v>36.144578313253014</v>
      </c>
      <c r="Q460" s="4">
        <f t="shared" si="52"/>
        <v>0</v>
      </c>
    </row>
    <row r="461" spans="1:17">
      <c r="A461" s="1" t="s">
        <v>117</v>
      </c>
      <c r="B461" s="1" t="s">
        <v>26</v>
      </c>
      <c r="C461" s="1" t="s">
        <v>15</v>
      </c>
      <c r="D461" s="1" t="s">
        <v>392</v>
      </c>
      <c r="E461" s="1">
        <v>41543</v>
      </c>
      <c r="F461" s="1">
        <v>306097</v>
      </c>
      <c r="G461" s="1">
        <f t="shared" si="49"/>
        <v>347640</v>
      </c>
      <c r="H461" s="1">
        <v>61379</v>
      </c>
      <c r="I461" s="1">
        <v>10</v>
      </c>
      <c r="J461" s="1">
        <v>83</v>
      </c>
      <c r="K461" s="1">
        <f t="shared" si="55"/>
        <v>5094457</v>
      </c>
      <c r="L461" s="1">
        <v>26</v>
      </c>
      <c r="M461" s="1">
        <f t="shared" si="53"/>
        <v>3498603</v>
      </c>
      <c r="N461" s="1">
        <f t="shared" si="54"/>
        <v>3150963</v>
      </c>
      <c r="O461" s="4">
        <f t="shared" si="50"/>
        <v>0.90063462473450118</v>
      </c>
      <c r="P461" s="4">
        <f t="shared" si="51"/>
        <v>45.614035087719294</v>
      </c>
      <c r="Q461" s="4">
        <f t="shared" si="52"/>
        <v>1.9629177358843151E-4</v>
      </c>
    </row>
    <row r="462" spans="1:17">
      <c r="A462" s="1" t="s">
        <v>118</v>
      </c>
      <c r="B462" s="1" t="s">
        <v>17</v>
      </c>
      <c r="C462" s="1" t="s">
        <v>18</v>
      </c>
      <c r="D462" s="1" t="s">
        <v>391</v>
      </c>
      <c r="E462" s="1">
        <v>17189</v>
      </c>
      <c r="F462" s="1">
        <v>160123</v>
      </c>
      <c r="G462" s="1">
        <f t="shared" si="49"/>
        <v>177312</v>
      </c>
      <c r="H462" s="1">
        <v>15666</v>
      </c>
      <c r="I462" s="1">
        <v>20</v>
      </c>
      <c r="J462" s="1">
        <v>39</v>
      </c>
      <c r="K462" s="1">
        <f t="shared" si="55"/>
        <v>610974</v>
      </c>
      <c r="L462" s="1">
        <v>80</v>
      </c>
      <c r="M462" s="1">
        <f t="shared" si="53"/>
        <v>-642306</v>
      </c>
      <c r="N462" s="1">
        <f t="shared" si="54"/>
        <v>-819618</v>
      </c>
      <c r="O462" s="4">
        <f t="shared" si="50"/>
        <v>-1.2760553381098729</v>
      </c>
      <c r="P462" s="4">
        <f t="shared" si="51"/>
        <v>-195.1219512195122</v>
      </c>
      <c r="Q462" s="4">
        <f t="shared" si="52"/>
        <v>3.2734617185019329E-3</v>
      </c>
    </row>
    <row r="463" spans="1:17">
      <c r="A463" s="1" t="s">
        <v>119</v>
      </c>
      <c r="B463" s="1" t="s">
        <v>20</v>
      </c>
      <c r="C463" s="1" t="s">
        <v>29</v>
      </c>
      <c r="D463" s="1" t="s">
        <v>391</v>
      </c>
      <c r="E463" s="1">
        <v>11993</v>
      </c>
      <c r="F463" s="1">
        <v>245053</v>
      </c>
      <c r="G463" s="1">
        <f t="shared" si="49"/>
        <v>257046</v>
      </c>
      <c r="H463" s="1">
        <v>14531</v>
      </c>
      <c r="I463" s="1">
        <v>0</v>
      </c>
      <c r="J463" s="1">
        <v>52</v>
      </c>
      <c r="K463" s="1">
        <f t="shared" si="55"/>
        <v>755612</v>
      </c>
      <c r="L463" s="1">
        <v>12</v>
      </c>
      <c r="M463" s="1">
        <f t="shared" si="53"/>
        <v>581240</v>
      </c>
      <c r="N463" s="1">
        <f t="shared" si="54"/>
        <v>324194</v>
      </c>
      <c r="O463" s="4">
        <f t="shared" si="50"/>
        <v>0.55776271419723356</v>
      </c>
      <c r="P463" s="4">
        <f t="shared" si="51"/>
        <v>30</v>
      </c>
      <c r="Q463" s="4">
        <f t="shared" si="52"/>
        <v>0</v>
      </c>
    </row>
    <row r="464" spans="1:17">
      <c r="A464" s="1" t="s">
        <v>120</v>
      </c>
      <c r="B464" s="1" t="s">
        <v>17</v>
      </c>
      <c r="C464" s="1" t="s">
        <v>18</v>
      </c>
      <c r="D464" s="1" t="s">
        <v>391</v>
      </c>
      <c r="E464" s="1">
        <v>22031</v>
      </c>
      <c r="F464" s="1">
        <v>386408</v>
      </c>
      <c r="G464" s="1">
        <f t="shared" si="49"/>
        <v>408439</v>
      </c>
      <c r="H464" s="1">
        <v>38802</v>
      </c>
      <c r="I464" s="1">
        <v>15</v>
      </c>
      <c r="J464" s="1">
        <v>91</v>
      </c>
      <c r="K464" s="1">
        <f t="shared" si="55"/>
        <v>3530982</v>
      </c>
      <c r="L464" s="1">
        <v>26</v>
      </c>
      <c r="M464" s="1">
        <f t="shared" si="53"/>
        <v>2522130</v>
      </c>
      <c r="N464" s="1">
        <f t="shared" si="54"/>
        <v>2113691</v>
      </c>
      <c r="O464" s="4">
        <f t="shared" si="50"/>
        <v>0.83805791136856544</v>
      </c>
      <c r="P464" s="4">
        <f t="shared" si="51"/>
        <v>40</v>
      </c>
      <c r="Q464" s="4">
        <f t="shared" si="52"/>
        <v>4.2481100158539467E-4</v>
      </c>
    </row>
    <row r="465" spans="1:17">
      <c r="A465" s="1" t="s">
        <v>121</v>
      </c>
      <c r="B465" s="1" t="s">
        <v>20</v>
      </c>
      <c r="C465" s="1" t="s">
        <v>21</v>
      </c>
      <c r="D465" s="1" t="s">
        <v>391</v>
      </c>
      <c r="E465" s="1">
        <v>33326</v>
      </c>
      <c r="F465" s="1">
        <v>65053</v>
      </c>
      <c r="G465" s="1">
        <f t="shared" si="49"/>
        <v>98379</v>
      </c>
      <c r="H465" s="1">
        <v>13433</v>
      </c>
      <c r="I465" s="1">
        <v>5</v>
      </c>
      <c r="J465" s="1">
        <v>27</v>
      </c>
      <c r="K465" s="1">
        <f t="shared" si="55"/>
        <v>362691</v>
      </c>
      <c r="L465" s="1">
        <v>17</v>
      </c>
      <c r="M465" s="1">
        <f t="shared" si="53"/>
        <v>134330</v>
      </c>
      <c r="N465" s="1">
        <f t="shared" si="54"/>
        <v>35951</v>
      </c>
      <c r="O465" s="4">
        <f t="shared" si="50"/>
        <v>0.26763195116504129</v>
      </c>
      <c r="P465" s="4">
        <f t="shared" si="51"/>
        <v>170</v>
      </c>
      <c r="Q465" s="4">
        <f t="shared" si="52"/>
        <v>1.3785839736855893E-3</v>
      </c>
    </row>
    <row r="466" spans="1:17">
      <c r="A466" s="1" t="s">
        <v>123</v>
      </c>
      <c r="B466" s="1" t="s">
        <v>26</v>
      </c>
      <c r="C466" s="1" t="s">
        <v>21</v>
      </c>
      <c r="D466" s="1" t="s">
        <v>392</v>
      </c>
      <c r="E466" s="1">
        <v>11720</v>
      </c>
      <c r="F466" s="1">
        <v>71578</v>
      </c>
      <c r="G466" s="1">
        <f t="shared" si="49"/>
        <v>83298</v>
      </c>
      <c r="H466" s="1">
        <v>75843</v>
      </c>
      <c r="I466" s="1">
        <v>15</v>
      </c>
      <c r="J466" s="1">
        <v>88</v>
      </c>
      <c r="K466" s="1">
        <f t="shared" si="55"/>
        <v>6674184</v>
      </c>
      <c r="L466" s="1">
        <v>11</v>
      </c>
      <c r="M466" s="1">
        <f t="shared" si="53"/>
        <v>5839911</v>
      </c>
      <c r="N466" s="1">
        <f t="shared" si="54"/>
        <v>5756613</v>
      </c>
      <c r="O466" s="4">
        <f t="shared" si="50"/>
        <v>0.98573642646266357</v>
      </c>
      <c r="P466" s="4">
        <f t="shared" si="51"/>
        <v>14.285714285714285</v>
      </c>
      <c r="Q466" s="4">
        <f t="shared" si="52"/>
        <v>2.2474657576117168E-4</v>
      </c>
    </row>
    <row r="467" spans="1:17">
      <c r="A467" s="1" t="s">
        <v>124</v>
      </c>
      <c r="B467" s="1" t="s">
        <v>26</v>
      </c>
      <c r="C467" s="1" t="s">
        <v>29</v>
      </c>
      <c r="D467" s="1" t="s">
        <v>391</v>
      </c>
      <c r="E467" s="1">
        <v>31079</v>
      </c>
      <c r="F467" s="1">
        <v>170220</v>
      </c>
      <c r="G467" s="1">
        <f t="shared" si="49"/>
        <v>201299</v>
      </c>
      <c r="H467" s="1">
        <v>60357</v>
      </c>
      <c r="I467" s="1">
        <v>10</v>
      </c>
      <c r="J467" s="1">
        <v>148</v>
      </c>
      <c r="K467" s="1">
        <f t="shared" si="55"/>
        <v>8932836</v>
      </c>
      <c r="L467" s="1">
        <v>22</v>
      </c>
      <c r="M467" s="1">
        <f t="shared" si="53"/>
        <v>7604982</v>
      </c>
      <c r="N467" s="1">
        <f t="shared" si="54"/>
        <v>7403683</v>
      </c>
      <c r="O467" s="4">
        <f t="shared" si="50"/>
        <v>0.97353064083517882</v>
      </c>
      <c r="P467" s="4">
        <f t="shared" si="51"/>
        <v>17.460317460317459</v>
      </c>
      <c r="Q467" s="4">
        <f t="shared" si="52"/>
        <v>1.119465307546226E-4</v>
      </c>
    </row>
    <row r="468" spans="1:17">
      <c r="A468" s="1" t="s">
        <v>125</v>
      </c>
      <c r="B468" s="1" t="s">
        <v>26</v>
      </c>
      <c r="C468" s="1" t="s">
        <v>29</v>
      </c>
      <c r="D468" s="1" t="s">
        <v>391</v>
      </c>
      <c r="E468" s="1">
        <v>16620</v>
      </c>
      <c r="F468" s="1">
        <v>280885</v>
      </c>
      <c r="G468" s="1">
        <f t="shared" si="49"/>
        <v>297505</v>
      </c>
      <c r="H468" s="1">
        <v>52571</v>
      </c>
      <c r="I468" s="1">
        <v>5</v>
      </c>
      <c r="J468" s="1">
        <v>149</v>
      </c>
      <c r="K468" s="1">
        <f t="shared" si="55"/>
        <v>7833079</v>
      </c>
      <c r="L468" s="1">
        <v>13</v>
      </c>
      <c r="M468" s="1">
        <f t="shared" si="53"/>
        <v>7149656</v>
      </c>
      <c r="N468" s="1">
        <f t="shared" si="54"/>
        <v>6852151</v>
      </c>
      <c r="O468" s="4">
        <f t="shared" si="50"/>
        <v>0.95838890710266345</v>
      </c>
      <c r="P468" s="4">
        <f t="shared" si="51"/>
        <v>9.5588235294117645</v>
      </c>
      <c r="Q468" s="4">
        <f t="shared" si="52"/>
        <v>6.3831859732296835E-5</v>
      </c>
    </row>
    <row r="469" spans="1:17">
      <c r="A469" s="1" t="s">
        <v>126</v>
      </c>
      <c r="B469" s="1" t="s">
        <v>26</v>
      </c>
      <c r="C469" s="1" t="s">
        <v>21</v>
      </c>
      <c r="D469" s="1" t="s">
        <v>392</v>
      </c>
      <c r="E469" s="1">
        <v>6734</v>
      </c>
      <c r="F469" s="1">
        <v>288803</v>
      </c>
      <c r="G469" s="1">
        <f t="shared" si="49"/>
        <v>295537</v>
      </c>
      <c r="H469" s="1">
        <v>82767</v>
      </c>
      <c r="I469" s="1">
        <v>5</v>
      </c>
      <c r="J469" s="1">
        <v>142</v>
      </c>
      <c r="K469" s="1">
        <f t="shared" si="55"/>
        <v>11752914</v>
      </c>
      <c r="L469" s="1">
        <v>31</v>
      </c>
      <c r="M469" s="1">
        <f t="shared" si="53"/>
        <v>9187137</v>
      </c>
      <c r="N469" s="1">
        <f t="shared" si="54"/>
        <v>8891600</v>
      </c>
      <c r="O469" s="4">
        <f t="shared" si="50"/>
        <v>0.96783143649648418</v>
      </c>
      <c r="P469" s="4">
        <f t="shared" si="51"/>
        <v>27.927927927927925</v>
      </c>
      <c r="Q469" s="4">
        <f t="shared" si="52"/>
        <v>4.2542640914414924E-5</v>
      </c>
    </row>
    <row r="470" spans="1:17">
      <c r="A470" s="1" t="s">
        <v>127</v>
      </c>
      <c r="B470" s="1" t="s">
        <v>20</v>
      </c>
      <c r="C470" s="1" t="s">
        <v>21</v>
      </c>
      <c r="D470" s="1" t="s">
        <v>391</v>
      </c>
      <c r="E470" s="1">
        <v>20509</v>
      </c>
      <c r="F470" s="1">
        <v>151382</v>
      </c>
      <c r="G470" s="1">
        <f t="shared" si="49"/>
        <v>171891</v>
      </c>
      <c r="H470" s="1">
        <v>74153</v>
      </c>
      <c r="I470" s="1">
        <v>5</v>
      </c>
      <c r="J470" s="1">
        <v>58</v>
      </c>
      <c r="K470" s="1">
        <f t="shared" si="55"/>
        <v>4300874</v>
      </c>
      <c r="L470" s="1">
        <v>25</v>
      </c>
      <c r="M470" s="1">
        <f t="shared" si="53"/>
        <v>2447049</v>
      </c>
      <c r="N470" s="1">
        <f t="shared" si="54"/>
        <v>2275158</v>
      </c>
      <c r="O470" s="4">
        <f t="shared" si="50"/>
        <v>0.92975579974083067</v>
      </c>
      <c r="P470" s="4">
        <f t="shared" si="51"/>
        <v>75.757575757575751</v>
      </c>
      <c r="Q470" s="4">
        <f t="shared" si="52"/>
        <v>1.1625544017332291E-4</v>
      </c>
    </row>
    <row r="471" spans="1:17">
      <c r="A471" s="1" t="s">
        <v>128</v>
      </c>
      <c r="B471" s="1" t="s">
        <v>20</v>
      </c>
      <c r="C471" s="1" t="s">
        <v>29</v>
      </c>
      <c r="D471" s="1" t="s">
        <v>391</v>
      </c>
      <c r="E471" s="1">
        <v>42995</v>
      </c>
      <c r="F471" s="1">
        <v>289490</v>
      </c>
      <c r="G471" s="1">
        <f t="shared" si="49"/>
        <v>332485</v>
      </c>
      <c r="H471" s="1">
        <v>12413</v>
      </c>
      <c r="I471" s="1">
        <v>5</v>
      </c>
      <c r="J471" s="1">
        <v>99</v>
      </c>
      <c r="K471" s="1">
        <f t="shared" si="55"/>
        <v>1228887</v>
      </c>
      <c r="L471" s="1">
        <v>15</v>
      </c>
      <c r="M471" s="1">
        <f t="shared" si="53"/>
        <v>1042692</v>
      </c>
      <c r="N471" s="1">
        <f t="shared" si="54"/>
        <v>710207</v>
      </c>
      <c r="O471" s="4">
        <f t="shared" si="50"/>
        <v>0.68112827181948266</v>
      </c>
      <c r="P471" s="4">
        <f t="shared" si="51"/>
        <v>17.857142857142858</v>
      </c>
      <c r="Q471" s="4">
        <f t="shared" si="52"/>
        <v>4.0687223479457432E-4</v>
      </c>
    </row>
    <row r="472" spans="1:17">
      <c r="A472" s="1" t="s">
        <v>129</v>
      </c>
      <c r="B472" s="1" t="s">
        <v>17</v>
      </c>
      <c r="C472" s="1" t="s">
        <v>21</v>
      </c>
      <c r="D472" s="1" t="s">
        <v>391</v>
      </c>
      <c r="E472" s="1">
        <v>10101</v>
      </c>
      <c r="F472" s="1">
        <v>222547</v>
      </c>
      <c r="G472" s="1">
        <f t="shared" si="49"/>
        <v>232648</v>
      </c>
      <c r="H472" s="1">
        <v>23575</v>
      </c>
      <c r="I472" s="1">
        <v>10</v>
      </c>
      <c r="J472" s="1">
        <v>146</v>
      </c>
      <c r="K472" s="1">
        <f t="shared" si="55"/>
        <v>3441950</v>
      </c>
      <c r="L472" s="1">
        <v>1</v>
      </c>
      <c r="M472" s="1">
        <f t="shared" si="53"/>
        <v>3418375</v>
      </c>
      <c r="N472" s="1">
        <f t="shared" si="54"/>
        <v>3185727</v>
      </c>
      <c r="O472" s="4">
        <f t="shared" si="50"/>
        <v>0.93194193147328774</v>
      </c>
      <c r="P472" s="4">
        <f t="shared" si="51"/>
        <v>0.68965517241379315</v>
      </c>
      <c r="Q472" s="4">
        <f t="shared" si="52"/>
        <v>2.9053298275686751E-4</v>
      </c>
    </row>
    <row r="473" spans="1:17">
      <c r="A473" s="1" t="s">
        <v>130</v>
      </c>
      <c r="B473" s="1" t="s">
        <v>17</v>
      </c>
      <c r="C473" s="1" t="s">
        <v>29</v>
      </c>
      <c r="D473" s="1" t="s">
        <v>391</v>
      </c>
      <c r="E473" s="1">
        <v>30629</v>
      </c>
      <c r="F473" s="1">
        <v>326757</v>
      </c>
      <c r="G473" s="1">
        <f t="shared" si="49"/>
        <v>357386</v>
      </c>
      <c r="H473" s="1">
        <v>59441</v>
      </c>
      <c r="I473" s="1">
        <v>0</v>
      </c>
      <c r="J473" s="1">
        <v>100</v>
      </c>
      <c r="K473" s="1">
        <f t="shared" si="55"/>
        <v>5944100</v>
      </c>
      <c r="L473" s="1">
        <v>4</v>
      </c>
      <c r="M473" s="1">
        <f t="shared" si="53"/>
        <v>5706336</v>
      </c>
      <c r="N473" s="1">
        <f t="shared" si="54"/>
        <v>5348950</v>
      </c>
      <c r="O473" s="4">
        <f t="shared" si="50"/>
        <v>0.93737031958861172</v>
      </c>
      <c r="P473" s="4">
        <f t="shared" si="51"/>
        <v>4.1666666666666661</v>
      </c>
      <c r="Q473" s="4">
        <f t="shared" si="52"/>
        <v>0</v>
      </c>
    </row>
    <row r="474" spans="1:17">
      <c r="A474" s="1" t="s">
        <v>131</v>
      </c>
      <c r="B474" s="1" t="s">
        <v>14</v>
      </c>
      <c r="C474" s="1" t="s">
        <v>18</v>
      </c>
      <c r="D474" s="1" t="s">
        <v>391</v>
      </c>
      <c r="E474" s="1">
        <v>48452</v>
      </c>
      <c r="F474" s="1">
        <v>95377</v>
      </c>
      <c r="G474" s="1">
        <f t="shared" si="49"/>
        <v>143829</v>
      </c>
      <c r="H474" s="1">
        <v>46722</v>
      </c>
      <c r="I474" s="1">
        <v>15</v>
      </c>
      <c r="J474" s="1">
        <v>96</v>
      </c>
      <c r="K474" s="1">
        <f t="shared" si="55"/>
        <v>4485312</v>
      </c>
      <c r="L474" s="1">
        <v>14</v>
      </c>
      <c r="M474" s="1">
        <f t="shared" si="53"/>
        <v>3831204</v>
      </c>
      <c r="N474" s="1">
        <f t="shared" si="54"/>
        <v>3687375</v>
      </c>
      <c r="O474" s="4">
        <f t="shared" si="50"/>
        <v>0.96245853783823576</v>
      </c>
      <c r="P474" s="4">
        <f t="shared" si="51"/>
        <v>17.073170731707318</v>
      </c>
      <c r="Q474" s="4">
        <f t="shared" si="52"/>
        <v>3.3442489619451221E-4</v>
      </c>
    </row>
    <row r="475" spans="1:17">
      <c r="A475" s="1" t="s">
        <v>132</v>
      </c>
      <c r="B475" s="1" t="s">
        <v>17</v>
      </c>
      <c r="C475" s="1" t="s">
        <v>18</v>
      </c>
      <c r="D475" s="1" t="s">
        <v>391</v>
      </c>
      <c r="E475" s="1">
        <v>19292</v>
      </c>
      <c r="F475" s="1">
        <v>113370</v>
      </c>
      <c r="G475" s="1">
        <f t="shared" si="49"/>
        <v>132662</v>
      </c>
      <c r="H475" s="1">
        <v>63553</v>
      </c>
      <c r="I475" s="1">
        <v>20</v>
      </c>
      <c r="J475" s="1">
        <v>86</v>
      </c>
      <c r="K475" s="1">
        <f t="shared" si="55"/>
        <v>5465558</v>
      </c>
      <c r="L475" s="1">
        <v>40</v>
      </c>
      <c r="M475" s="1">
        <f t="shared" si="53"/>
        <v>2923438</v>
      </c>
      <c r="N475" s="1">
        <f t="shared" si="54"/>
        <v>2790776</v>
      </c>
      <c r="O475" s="4">
        <f t="shared" si="50"/>
        <v>0.95462123705034962</v>
      </c>
      <c r="P475" s="4">
        <f t="shared" si="51"/>
        <v>86.956521739130437</v>
      </c>
      <c r="Q475" s="4">
        <f t="shared" si="52"/>
        <v>3.6592787049373552E-4</v>
      </c>
    </row>
    <row r="476" spans="1:17">
      <c r="A476" s="1" t="s">
        <v>133</v>
      </c>
      <c r="B476" s="1" t="s">
        <v>17</v>
      </c>
      <c r="C476" s="1" t="s">
        <v>74</v>
      </c>
      <c r="D476" s="1" t="s">
        <v>391</v>
      </c>
      <c r="E476" s="1">
        <v>13812</v>
      </c>
      <c r="F476" s="1">
        <v>90692</v>
      </c>
      <c r="G476" s="1">
        <f t="shared" si="49"/>
        <v>104504</v>
      </c>
      <c r="H476" s="1">
        <v>83551</v>
      </c>
      <c r="I476" s="1">
        <v>15</v>
      </c>
      <c r="J476" s="1">
        <v>140</v>
      </c>
      <c r="K476" s="1">
        <f t="shared" si="55"/>
        <v>11697140</v>
      </c>
      <c r="L476" s="1">
        <v>10</v>
      </c>
      <c r="M476" s="1">
        <f t="shared" si="53"/>
        <v>10861630</v>
      </c>
      <c r="N476" s="1">
        <f t="shared" si="54"/>
        <v>10757126</v>
      </c>
      <c r="O476" s="4">
        <f t="shared" si="50"/>
        <v>0.99037860799898358</v>
      </c>
      <c r="P476" s="4">
        <f t="shared" si="51"/>
        <v>7.6923076923076925</v>
      </c>
      <c r="Q476" s="4">
        <f t="shared" si="52"/>
        <v>1.2823647489899241E-4</v>
      </c>
    </row>
    <row r="477" spans="1:17">
      <c r="A477" s="1" t="s">
        <v>134</v>
      </c>
      <c r="B477" s="1" t="s">
        <v>17</v>
      </c>
      <c r="C477" s="1" t="s">
        <v>29</v>
      </c>
      <c r="D477" s="1" t="s">
        <v>392</v>
      </c>
      <c r="E477" s="1">
        <v>47962</v>
      </c>
      <c r="F477" s="1">
        <v>101277</v>
      </c>
      <c r="G477" s="1">
        <f t="shared" si="49"/>
        <v>149239</v>
      </c>
      <c r="H477" s="1">
        <v>79351</v>
      </c>
      <c r="I477" s="1">
        <v>10</v>
      </c>
      <c r="J477" s="1">
        <v>109</v>
      </c>
      <c r="K477" s="1">
        <f t="shared" si="55"/>
        <v>8649259</v>
      </c>
      <c r="L477" s="1">
        <v>36</v>
      </c>
      <c r="M477" s="1">
        <f t="shared" si="53"/>
        <v>5792623</v>
      </c>
      <c r="N477" s="1">
        <f t="shared" si="54"/>
        <v>5643384</v>
      </c>
      <c r="O477" s="4">
        <f t="shared" si="50"/>
        <v>0.97423636925793378</v>
      </c>
      <c r="P477" s="4">
        <f t="shared" si="51"/>
        <v>49.315068493150683</v>
      </c>
      <c r="Q477" s="4">
        <f t="shared" si="52"/>
        <v>1.1561684070277003E-4</v>
      </c>
    </row>
    <row r="478" spans="1:17">
      <c r="A478" s="1" t="s">
        <v>135</v>
      </c>
      <c r="B478" s="1" t="s">
        <v>20</v>
      </c>
      <c r="C478" s="1" t="s">
        <v>18</v>
      </c>
      <c r="D478" s="1" t="s">
        <v>392</v>
      </c>
      <c r="E478" s="1">
        <v>46932</v>
      </c>
      <c r="F478" s="1">
        <v>75307</v>
      </c>
      <c r="G478" s="1">
        <f t="shared" si="49"/>
        <v>122239</v>
      </c>
      <c r="H478" s="1">
        <v>75008</v>
      </c>
      <c r="I478" s="1">
        <v>10</v>
      </c>
      <c r="J478" s="1">
        <v>136</v>
      </c>
      <c r="K478" s="1">
        <f t="shared" si="55"/>
        <v>10201088</v>
      </c>
      <c r="L478" s="1">
        <v>30</v>
      </c>
      <c r="M478" s="1">
        <f t="shared" si="53"/>
        <v>7950848</v>
      </c>
      <c r="N478" s="1">
        <f t="shared" si="54"/>
        <v>7828609</v>
      </c>
      <c r="O478" s="4">
        <f t="shared" si="50"/>
        <v>0.98462566508629012</v>
      </c>
      <c r="P478" s="4">
        <f t="shared" si="51"/>
        <v>28.30188679245283</v>
      </c>
      <c r="Q478" s="4">
        <f t="shared" si="52"/>
        <v>9.8028759285284092E-5</v>
      </c>
    </row>
    <row r="479" spans="1:17">
      <c r="A479" s="1" t="s">
        <v>136</v>
      </c>
      <c r="B479" s="1" t="s">
        <v>20</v>
      </c>
      <c r="C479" s="1" t="s">
        <v>29</v>
      </c>
      <c r="D479" s="1" t="s">
        <v>391</v>
      </c>
      <c r="E479" s="1">
        <v>15165</v>
      </c>
      <c r="F479" s="1">
        <v>181081</v>
      </c>
      <c r="G479" s="1">
        <f t="shared" si="49"/>
        <v>196246</v>
      </c>
      <c r="H479" s="1">
        <v>47608</v>
      </c>
      <c r="I479" s="1">
        <v>10</v>
      </c>
      <c r="J479" s="1">
        <v>143</v>
      </c>
      <c r="K479" s="1">
        <f t="shared" si="55"/>
        <v>6807944</v>
      </c>
      <c r="L479" s="1">
        <v>34</v>
      </c>
      <c r="M479" s="1">
        <f t="shared" si="53"/>
        <v>5189272</v>
      </c>
      <c r="N479" s="1">
        <f t="shared" si="54"/>
        <v>4993026</v>
      </c>
      <c r="O479" s="4">
        <f t="shared" si="50"/>
        <v>0.96218236392310907</v>
      </c>
      <c r="P479" s="4">
        <f t="shared" si="51"/>
        <v>31.192660550458719</v>
      </c>
      <c r="Q479" s="4">
        <f t="shared" si="52"/>
        <v>1.4688722468927476E-4</v>
      </c>
    </row>
    <row r="480" spans="1:17">
      <c r="A480" s="1" t="s">
        <v>137</v>
      </c>
      <c r="B480" s="1" t="s">
        <v>17</v>
      </c>
      <c r="C480" s="1" t="s">
        <v>18</v>
      </c>
      <c r="D480" s="1" t="s">
        <v>391</v>
      </c>
      <c r="E480" s="1">
        <v>19797</v>
      </c>
      <c r="F480" s="1">
        <v>64790</v>
      </c>
      <c r="G480" s="1">
        <f t="shared" si="49"/>
        <v>84587</v>
      </c>
      <c r="H480" s="1">
        <v>34506</v>
      </c>
      <c r="I480" s="1">
        <v>10</v>
      </c>
      <c r="J480" s="1">
        <v>32</v>
      </c>
      <c r="K480" s="1">
        <f t="shared" si="55"/>
        <v>1104192</v>
      </c>
      <c r="L480" s="1">
        <v>2</v>
      </c>
      <c r="M480" s="1">
        <f t="shared" si="53"/>
        <v>1035180</v>
      </c>
      <c r="N480" s="1">
        <f t="shared" si="54"/>
        <v>950593</v>
      </c>
      <c r="O480" s="4">
        <f t="shared" si="50"/>
        <v>0.91828764079676961</v>
      </c>
      <c r="P480" s="4">
        <f t="shared" si="51"/>
        <v>6.666666666666667</v>
      </c>
      <c r="Q480" s="4">
        <f t="shared" si="52"/>
        <v>9.0563959891033438E-4</v>
      </c>
    </row>
    <row r="481" spans="1:17">
      <c r="A481" s="1" t="s">
        <v>138</v>
      </c>
      <c r="B481" s="1" t="s">
        <v>26</v>
      </c>
      <c r="C481" s="1" t="s">
        <v>21</v>
      </c>
      <c r="D481" s="1" t="s">
        <v>391</v>
      </c>
      <c r="E481" s="1">
        <v>45905</v>
      </c>
      <c r="F481" s="1">
        <v>127828</v>
      </c>
      <c r="G481" s="1">
        <f t="shared" si="49"/>
        <v>173733</v>
      </c>
      <c r="H481" s="1">
        <v>58743</v>
      </c>
      <c r="I481" s="1">
        <v>0</v>
      </c>
      <c r="J481" s="1">
        <v>44</v>
      </c>
      <c r="K481" s="1">
        <f t="shared" si="55"/>
        <v>2584692</v>
      </c>
      <c r="L481" s="1">
        <v>3</v>
      </c>
      <c r="M481" s="1">
        <f t="shared" si="53"/>
        <v>2408463</v>
      </c>
      <c r="N481" s="1">
        <f t="shared" si="54"/>
        <v>2234730</v>
      </c>
      <c r="O481" s="4">
        <f t="shared" si="50"/>
        <v>0.92786561387905897</v>
      </c>
      <c r="P481" s="4">
        <f t="shared" si="51"/>
        <v>7.3170731707317067</v>
      </c>
      <c r="Q481" s="4">
        <f t="shared" si="52"/>
        <v>0</v>
      </c>
    </row>
    <row r="482" spans="1:17">
      <c r="A482" s="1" t="s">
        <v>139</v>
      </c>
      <c r="B482" s="1" t="s">
        <v>20</v>
      </c>
      <c r="C482" s="1" t="s">
        <v>18</v>
      </c>
      <c r="D482" s="1" t="s">
        <v>392</v>
      </c>
      <c r="E482" s="1">
        <v>5622</v>
      </c>
      <c r="F482" s="1">
        <v>213397</v>
      </c>
      <c r="G482" s="1">
        <f t="shared" si="49"/>
        <v>219019</v>
      </c>
      <c r="H482" s="1">
        <v>65501</v>
      </c>
      <c r="I482" s="1">
        <v>20</v>
      </c>
      <c r="J482" s="1">
        <v>56</v>
      </c>
      <c r="K482" s="1">
        <f t="shared" si="55"/>
        <v>3668056</v>
      </c>
      <c r="L482" s="1">
        <v>12</v>
      </c>
      <c r="M482" s="1">
        <f t="shared" si="53"/>
        <v>2882044</v>
      </c>
      <c r="N482" s="1">
        <f t="shared" si="54"/>
        <v>2663025</v>
      </c>
      <c r="O482" s="4">
        <f t="shared" si="50"/>
        <v>0.92400567097518294</v>
      </c>
      <c r="P482" s="4">
        <f t="shared" si="51"/>
        <v>27.27272727272727</v>
      </c>
      <c r="Q482" s="4">
        <f t="shared" si="52"/>
        <v>5.4524794605098723E-4</v>
      </c>
    </row>
    <row r="483" spans="1:17">
      <c r="A483" s="1" t="s">
        <v>140</v>
      </c>
      <c r="B483" s="1" t="s">
        <v>20</v>
      </c>
      <c r="C483" s="1" t="s">
        <v>29</v>
      </c>
      <c r="D483" s="1" t="s">
        <v>391</v>
      </c>
      <c r="E483" s="1">
        <v>46100</v>
      </c>
      <c r="F483" s="1">
        <v>151532</v>
      </c>
      <c r="G483" s="1">
        <f t="shared" si="49"/>
        <v>197632</v>
      </c>
      <c r="H483" s="1">
        <v>35590</v>
      </c>
      <c r="I483" s="1">
        <v>10</v>
      </c>
      <c r="J483" s="1">
        <v>82</v>
      </c>
      <c r="K483" s="1">
        <f t="shared" si="55"/>
        <v>2918380</v>
      </c>
      <c r="L483" s="1">
        <v>5</v>
      </c>
      <c r="M483" s="1">
        <f t="shared" si="53"/>
        <v>2740430</v>
      </c>
      <c r="N483" s="1">
        <f t="shared" si="54"/>
        <v>2542798</v>
      </c>
      <c r="O483" s="4">
        <f t="shared" si="50"/>
        <v>0.92788285050156361</v>
      </c>
      <c r="P483" s="4">
        <f t="shared" si="51"/>
        <v>6.4935064935064926</v>
      </c>
      <c r="Q483" s="4">
        <f t="shared" si="52"/>
        <v>3.4265585701656403E-4</v>
      </c>
    </row>
    <row r="484" spans="1:17">
      <c r="A484" s="1" t="s">
        <v>141</v>
      </c>
      <c r="B484" s="1" t="s">
        <v>14</v>
      </c>
      <c r="C484" s="1" t="s">
        <v>18</v>
      </c>
      <c r="D484" s="1" t="s">
        <v>392</v>
      </c>
      <c r="E484" s="1">
        <v>34176</v>
      </c>
      <c r="F484" s="1">
        <v>379575</v>
      </c>
      <c r="G484" s="1">
        <f t="shared" si="49"/>
        <v>413751</v>
      </c>
      <c r="H484" s="1">
        <v>48510</v>
      </c>
      <c r="I484" s="1">
        <v>10</v>
      </c>
      <c r="J484" s="1">
        <v>22</v>
      </c>
      <c r="K484" s="1">
        <f t="shared" si="55"/>
        <v>1067220</v>
      </c>
      <c r="L484" s="1">
        <v>5</v>
      </c>
      <c r="M484" s="1">
        <f t="shared" si="53"/>
        <v>824670</v>
      </c>
      <c r="N484" s="1">
        <f t="shared" si="54"/>
        <v>410919</v>
      </c>
      <c r="O484" s="4">
        <f t="shared" si="50"/>
        <v>0.49828294954345376</v>
      </c>
      <c r="P484" s="4">
        <f t="shared" si="51"/>
        <v>29.411764705882355</v>
      </c>
      <c r="Q484" s="4">
        <f t="shared" si="52"/>
        <v>9.3701392402691108E-4</v>
      </c>
    </row>
    <row r="485" spans="1:17">
      <c r="A485" s="1" t="s">
        <v>142</v>
      </c>
      <c r="B485" s="1" t="s">
        <v>17</v>
      </c>
      <c r="C485" s="1" t="s">
        <v>18</v>
      </c>
      <c r="D485" s="1" t="s">
        <v>391</v>
      </c>
      <c r="E485" s="1">
        <v>10271</v>
      </c>
      <c r="F485" s="1">
        <v>105549</v>
      </c>
      <c r="G485" s="1">
        <f t="shared" si="49"/>
        <v>115820</v>
      </c>
      <c r="H485" s="1">
        <v>72706</v>
      </c>
      <c r="I485" s="1">
        <v>0</v>
      </c>
      <c r="J485" s="1">
        <v>13</v>
      </c>
      <c r="K485" s="1">
        <f t="shared" si="55"/>
        <v>945178</v>
      </c>
      <c r="L485" s="1">
        <v>100</v>
      </c>
      <c r="M485" s="1">
        <f t="shared" si="53"/>
        <v>-6325422</v>
      </c>
      <c r="N485" s="1">
        <f t="shared" si="54"/>
        <v>-6441242</v>
      </c>
      <c r="O485" s="4">
        <f t="shared" si="50"/>
        <v>-1.0183102408029061</v>
      </c>
      <c r="P485" s="4">
        <f t="shared" si="51"/>
        <v>-114.94252873563218</v>
      </c>
      <c r="Q485" s="4">
        <f t="shared" si="52"/>
        <v>0</v>
      </c>
    </row>
    <row r="486" spans="1:17">
      <c r="A486" s="1" t="s">
        <v>143</v>
      </c>
      <c r="B486" s="1" t="s">
        <v>20</v>
      </c>
      <c r="C486" s="1" t="s">
        <v>18</v>
      </c>
      <c r="D486" s="1" t="s">
        <v>392</v>
      </c>
      <c r="E486" s="1">
        <v>44646</v>
      </c>
      <c r="F486" s="1">
        <v>294403</v>
      </c>
      <c r="G486" s="1">
        <f t="shared" si="49"/>
        <v>339049</v>
      </c>
      <c r="H486" s="1">
        <v>14129</v>
      </c>
      <c r="I486" s="1">
        <v>0</v>
      </c>
      <c r="J486" s="1">
        <v>62</v>
      </c>
      <c r="K486" s="1">
        <f t="shared" si="55"/>
        <v>875998</v>
      </c>
      <c r="L486" s="1">
        <v>39</v>
      </c>
      <c r="M486" s="1">
        <f t="shared" si="53"/>
        <v>324967</v>
      </c>
      <c r="N486" s="1">
        <f t="shared" si="54"/>
        <v>-14082</v>
      </c>
      <c r="O486" s="4">
        <f t="shared" si="50"/>
        <v>-4.3333630799435016E-2</v>
      </c>
      <c r="P486" s="4">
        <f t="shared" si="51"/>
        <v>169.56521739130434</v>
      </c>
      <c r="Q486" s="4">
        <f t="shared" si="52"/>
        <v>0</v>
      </c>
    </row>
    <row r="487" spans="1:17">
      <c r="A487" s="1" t="s">
        <v>144</v>
      </c>
      <c r="B487" s="1" t="s">
        <v>26</v>
      </c>
      <c r="C487" s="1" t="s">
        <v>29</v>
      </c>
      <c r="D487" s="1" t="s">
        <v>392</v>
      </c>
      <c r="E487" s="1">
        <v>7759</v>
      </c>
      <c r="F487" s="1">
        <v>249446</v>
      </c>
      <c r="G487" s="1">
        <f t="shared" si="49"/>
        <v>257205</v>
      </c>
      <c r="H487" s="1">
        <v>30599</v>
      </c>
      <c r="I487" s="1">
        <v>20</v>
      </c>
      <c r="J487" s="1">
        <v>111</v>
      </c>
      <c r="K487" s="1">
        <f t="shared" si="55"/>
        <v>3396489</v>
      </c>
      <c r="L487" s="1">
        <v>25</v>
      </c>
      <c r="M487" s="1">
        <f t="shared" si="53"/>
        <v>2631514</v>
      </c>
      <c r="N487" s="1">
        <f t="shared" si="54"/>
        <v>2374309</v>
      </c>
      <c r="O487" s="4">
        <f t="shared" si="50"/>
        <v>0.90225968776909415</v>
      </c>
      <c r="P487" s="4">
        <f t="shared" si="51"/>
        <v>29.069767441860467</v>
      </c>
      <c r="Q487" s="4">
        <f t="shared" si="52"/>
        <v>5.8884336148299016E-4</v>
      </c>
    </row>
    <row r="488" spans="1:17">
      <c r="A488" s="1" t="s">
        <v>145</v>
      </c>
      <c r="B488" s="1" t="s">
        <v>20</v>
      </c>
      <c r="C488" s="1" t="s">
        <v>15</v>
      </c>
      <c r="D488" s="1" t="s">
        <v>391</v>
      </c>
      <c r="E488" s="1">
        <v>43596</v>
      </c>
      <c r="F488" s="1">
        <v>339823</v>
      </c>
      <c r="G488" s="1">
        <f t="shared" si="49"/>
        <v>383419</v>
      </c>
      <c r="H488" s="1">
        <v>35431</v>
      </c>
      <c r="I488" s="1">
        <v>5</v>
      </c>
      <c r="J488" s="1">
        <v>119</v>
      </c>
      <c r="K488" s="1">
        <f t="shared" si="55"/>
        <v>4216289</v>
      </c>
      <c r="L488" s="1">
        <v>8</v>
      </c>
      <c r="M488" s="1">
        <f t="shared" si="53"/>
        <v>3932841</v>
      </c>
      <c r="N488" s="1">
        <f t="shared" si="54"/>
        <v>3549422</v>
      </c>
      <c r="O488" s="4">
        <f t="shared" si="50"/>
        <v>0.90250839024511798</v>
      </c>
      <c r="P488" s="4">
        <f t="shared" si="51"/>
        <v>7.2072072072072073</v>
      </c>
      <c r="Q488" s="4">
        <f t="shared" si="52"/>
        <v>1.1858769643162506E-4</v>
      </c>
    </row>
    <row r="489" spans="1:17">
      <c r="A489" s="1" t="s">
        <v>146</v>
      </c>
      <c r="B489" s="1" t="s">
        <v>17</v>
      </c>
      <c r="C489" s="1" t="s">
        <v>15</v>
      </c>
      <c r="D489" s="1" t="s">
        <v>392</v>
      </c>
      <c r="E489" s="1">
        <v>49158</v>
      </c>
      <c r="F489" s="1">
        <v>373469</v>
      </c>
      <c r="G489" s="1">
        <f t="shared" si="49"/>
        <v>422627</v>
      </c>
      <c r="H489" s="1">
        <v>72693</v>
      </c>
      <c r="I489" s="1">
        <v>15</v>
      </c>
      <c r="J489" s="1">
        <v>106</v>
      </c>
      <c r="K489" s="1">
        <f t="shared" si="55"/>
        <v>7705458</v>
      </c>
      <c r="L489" s="1">
        <v>28</v>
      </c>
      <c r="M489" s="1">
        <f t="shared" si="53"/>
        <v>5670054</v>
      </c>
      <c r="N489" s="1">
        <f t="shared" si="54"/>
        <v>5247427</v>
      </c>
      <c r="O489" s="4">
        <f t="shared" si="50"/>
        <v>0.92546332010241883</v>
      </c>
      <c r="P489" s="4">
        <f t="shared" si="51"/>
        <v>35.897435897435898</v>
      </c>
      <c r="Q489" s="4">
        <f t="shared" si="52"/>
        <v>1.9466720862017545E-4</v>
      </c>
    </row>
    <row r="490" spans="1:17">
      <c r="A490" s="1" t="s">
        <v>147</v>
      </c>
      <c r="B490" s="1" t="s">
        <v>14</v>
      </c>
      <c r="C490" s="1" t="s">
        <v>15</v>
      </c>
      <c r="D490" s="1" t="s">
        <v>391</v>
      </c>
      <c r="E490" s="1">
        <v>47114</v>
      </c>
      <c r="F490" s="1">
        <v>65725</v>
      </c>
      <c r="G490" s="1">
        <f t="shared" si="49"/>
        <v>112839</v>
      </c>
      <c r="H490" s="1">
        <v>49881</v>
      </c>
      <c r="I490" s="1">
        <v>5</v>
      </c>
      <c r="J490" s="1">
        <v>28</v>
      </c>
      <c r="K490" s="1">
        <f t="shared" si="55"/>
        <v>1396668</v>
      </c>
      <c r="L490" s="1">
        <v>32</v>
      </c>
      <c r="M490" s="1">
        <f t="shared" si="53"/>
        <v>-199524</v>
      </c>
      <c r="N490" s="1">
        <f t="shared" si="54"/>
        <v>-312363</v>
      </c>
      <c r="O490" s="4">
        <f t="shared" si="50"/>
        <v>-1.5655409875503699</v>
      </c>
      <c r="P490" s="4">
        <f t="shared" si="51"/>
        <v>-800</v>
      </c>
      <c r="Q490" s="4">
        <f t="shared" si="52"/>
        <v>3.5799488496908357E-4</v>
      </c>
    </row>
    <row r="491" spans="1:17">
      <c r="A491" s="1" t="s">
        <v>148</v>
      </c>
      <c r="B491" s="1" t="s">
        <v>20</v>
      </c>
      <c r="C491" s="1" t="s">
        <v>29</v>
      </c>
      <c r="D491" s="1" t="s">
        <v>392</v>
      </c>
      <c r="E491" s="1">
        <v>35096</v>
      </c>
      <c r="F491" s="1">
        <v>128387</v>
      </c>
      <c r="G491" s="1">
        <f t="shared" si="49"/>
        <v>163483</v>
      </c>
      <c r="H491" s="1">
        <v>60466</v>
      </c>
      <c r="I491" s="1">
        <v>5</v>
      </c>
      <c r="J491" s="1">
        <v>44</v>
      </c>
      <c r="K491" s="1">
        <f t="shared" si="55"/>
        <v>2660504</v>
      </c>
      <c r="L491" s="1">
        <v>12</v>
      </c>
      <c r="M491" s="1">
        <f t="shared" si="53"/>
        <v>1934912</v>
      </c>
      <c r="N491" s="1">
        <f t="shared" si="54"/>
        <v>1771429</v>
      </c>
      <c r="O491" s="4">
        <f t="shared" si="50"/>
        <v>0.91550881900572223</v>
      </c>
      <c r="P491" s="4">
        <f t="shared" si="51"/>
        <v>37.5</v>
      </c>
      <c r="Q491" s="4">
        <f t="shared" si="52"/>
        <v>1.8793431620474916E-4</v>
      </c>
    </row>
    <row r="492" spans="1:17">
      <c r="A492" s="1" t="s">
        <v>149</v>
      </c>
      <c r="B492" s="1" t="s">
        <v>17</v>
      </c>
      <c r="C492" s="1" t="s">
        <v>21</v>
      </c>
      <c r="D492" s="1" t="s">
        <v>391</v>
      </c>
      <c r="E492" s="1">
        <v>42098</v>
      </c>
      <c r="F492" s="1">
        <v>268894</v>
      </c>
      <c r="G492" s="1">
        <f t="shared" si="49"/>
        <v>310992</v>
      </c>
      <c r="H492" s="1">
        <v>66829</v>
      </c>
      <c r="I492" s="1">
        <v>15</v>
      </c>
      <c r="J492" s="1">
        <v>149</v>
      </c>
      <c r="K492" s="1">
        <f t="shared" si="55"/>
        <v>9957521</v>
      </c>
      <c r="L492" s="1">
        <v>17</v>
      </c>
      <c r="M492" s="1">
        <f t="shared" si="53"/>
        <v>8821428</v>
      </c>
      <c r="N492" s="1">
        <f t="shared" si="54"/>
        <v>8510436</v>
      </c>
      <c r="O492" s="4">
        <f t="shared" si="50"/>
        <v>0.96474584387017615</v>
      </c>
      <c r="P492" s="4">
        <f t="shared" si="51"/>
        <v>12.878787878787879</v>
      </c>
      <c r="Q492" s="4">
        <f t="shared" si="52"/>
        <v>1.5063990324499442E-4</v>
      </c>
    </row>
    <row r="493" spans="1:17">
      <c r="A493" s="1" t="s">
        <v>150</v>
      </c>
      <c r="B493" s="1" t="s">
        <v>20</v>
      </c>
      <c r="C493" s="1" t="s">
        <v>21</v>
      </c>
      <c r="D493" s="1" t="s">
        <v>392</v>
      </c>
      <c r="E493" s="1">
        <v>16322</v>
      </c>
      <c r="F493" s="1">
        <v>374081</v>
      </c>
      <c r="G493" s="1">
        <f t="shared" si="49"/>
        <v>390403</v>
      </c>
      <c r="H493" s="1">
        <v>25428</v>
      </c>
      <c r="I493" s="1">
        <v>5</v>
      </c>
      <c r="J493" s="1">
        <v>71</v>
      </c>
      <c r="K493" s="1">
        <f t="shared" si="55"/>
        <v>1805388</v>
      </c>
      <c r="L493" s="1">
        <v>1</v>
      </c>
      <c r="M493" s="1">
        <f t="shared" si="53"/>
        <v>1779960</v>
      </c>
      <c r="N493" s="1">
        <f t="shared" si="54"/>
        <v>1389557</v>
      </c>
      <c r="O493" s="4">
        <f t="shared" si="50"/>
        <v>0.78066754309085595</v>
      </c>
      <c r="P493" s="4">
        <f t="shared" si="51"/>
        <v>1.4285714285714286</v>
      </c>
      <c r="Q493" s="4">
        <f t="shared" si="52"/>
        <v>2.7694877776965392E-4</v>
      </c>
    </row>
    <row r="494" spans="1:17">
      <c r="A494" s="1" t="s">
        <v>151</v>
      </c>
      <c r="B494" s="1" t="s">
        <v>20</v>
      </c>
      <c r="C494" s="1" t="s">
        <v>15</v>
      </c>
      <c r="D494" s="1" t="s">
        <v>392</v>
      </c>
      <c r="E494" s="1">
        <v>33626</v>
      </c>
      <c r="F494" s="1">
        <v>287417</v>
      </c>
      <c r="G494" s="1">
        <f t="shared" si="49"/>
        <v>321043</v>
      </c>
      <c r="H494" s="1">
        <v>47939</v>
      </c>
      <c r="I494" s="1">
        <v>5</v>
      </c>
      <c r="J494" s="1">
        <v>102</v>
      </c>
      <c r="K494" s="1">
        <f t="shared" si="55"/>
        <v>4889778</v>
      </c>
      <c r="L494" s="1">
        <v>18</v>
      </c>
      <c r="M494" s="1">
        <f t="shared" si="53"/>
        <v>4026876</v>
      </c>
      <c r="N494" s="1">
        <f t="shared" si="54"/>
        <v>3705833</v>
      </c>
      <c r="O494" s="4">
        <f t="shared" si="50"/>
        <v>0.92027492279374878</v>
      </c>
      <c r="P494" s="4">
        <f t="shared" si="51"/>
        <v>21.428571428571427</v>
      </c>
      <c r="Q494" s="4">
        <f t="shared" si="52"/>
        <v>1.0225413096463685E-4</v>
      </c>
    </row>
    <row r="495" spans="1:17">
      <c r="A495" s="1" t="s">
        <v>152</v>
      </c>
      <c r="B495" s="1" t="s">
        <v>20</v>
      </c>
      <c r="C495" s="1" t="s">
        <v>21</v>
      </c>
      <c r="D495" s="1" t="s">
        <v>391</v>
      </c>
      <c r="E495" s="1">
        <v>29914</v>
      </c>
      <c r="F495" s="1">
        <v>335477</v>
      </c>
      <c r="G495" s="1">
        <f t="shared" si="49"/>
        <v>365391</v>
      </c>
      <c r="H495" s="1">
        <v>21832</v>
      </c>
      <c r="I495" s="1">
        <v>0</v>
      </c>
      <c r="J495" s="1">
        <v>37</v>
      </c>
      <c r="K495" s="1">
        <f t="shared" si="55"/>
        <v>807784</v>
      </c>
      <c r="L495" s="1">
        <v>9</v>
      </c>
      <c r="M495" s="1">
        <f t="shared" si="53"/>
        <v>611296</v>
      </c>
      <c r="N495" s="1">
        <f t="shared" si="54"/>
        <v>245905</v>
      </c>
      <c r="O495" s="4">
        <f t="shared" si="50"/>
        <v>0.4022682955556719</v>
      </c>
      <c r="P495" s="4">
        <f t="shared" si="51"/>
        <v>32.142857142857146</v>
      </c>
      <c r="Q495" s="4">
        <f t="shared" si="52"/>
        <v>0</v>
      </c>
    </row>
    <row r="496" spans="1:17">
      <c r="A496" s="1" t="s">
        <v>153</v>
      </c>
      <c r="B496" s="1" t="s">
        <v>20</v>
      </c>
      <c r="C496" s="1" t="s">
        <v>38</v>
      </c>
      <c r="D496" s="1" t="s">
        <v>391</v>
      </c>
      <c r="E496" s="1">
        <v>43717</v>
      </c>
      <c r="F496" s="1">
        <v>153183</v>
      </c>
      <c r="G496" s="1">
        <f t="shared" si="49"/>
        <v>196900</v>
      </c>
      <c r="H496" s="1">
        <v>45397</v>
      </c>
      <c r="I496" s="1">
        <v>10</v>
      </c>
      <c r="J496" s="1">
        <v>148</v>
      </c>
      <c r="K496" s="1">
        <f t="shared" si="55"/>
        <v>6718756</v>
      </c>
      <c r="L496" s="1">
        <v>29</v>
      </c>
      <c r="M496" s="1">
        <f t="shared" si="53"/>
        <v>5402243</v>
      </c>
      <c r="N496" s="1">
        <f t="shared" si="54"/>
        <v>5205343</v>
      </c>
      <c r="O496" s="4">
        <f t="shared" si="50"/>
        <v>0.96355217638303203</v>
      </c>
      <c r="P496" s="4">
        <f t="shared" si="51"/>
        <v>24.369747899159663</v>
      </c>
      <c r="Q496" s="4">
        <f t="shared" si="52"/>
        <v>1.4883707638735504E-4</v>
      </c>
    </row>
    <row r="497" spans="1:17">
      <c r="A497" s="1" t="s">
        <v>154</v>
      </c>
      <c r="B497" s="1" t="s">
        <v>26</v>
      </c>
      <c r="C497" s="1" t="s">
        <v>29</v>
      </c>
      <c r="D497" s="1" t="s">
        <v>391</v>
      </c>
      <c r="E497" s="1">
        <v>36018</v>
      </c>
      <c r="F497" s="1">
        <v>387205</v>
      </c>
      <c r="G497" s="1">
        <f t="shared" si="49"/>
        <v>423223</v>
      </c>
      <c r="H497" s="1">
        <v>46488</v>
      </c>
      <c r="I497" s="1">
        <v>15</v>
      </c>
      <c r="J497" s="1">
        <v>81</v>
      </c>
      <c r="K497" s="1">
        <f t="shared" si="55"/>
        <v>3765528</v>
      </c>
      <c r="L497" s="1">
        <v>3</v>
      </c>
      <c r="M497" s="1">
        <f t="shared" si="53"/>
        <v>3626064</v>
      </c>
      <c r="N497" s="1">
        <f t="shared" si="54"/>
        <v>3202841</v>
      </c>
      <c r="O497" s="4">
        <f t="shared" si="50"/>
        <v>0.88328308601282268</v>
      </c>
      <c r="P497" s="4">
        <f t="shared" si="51"/>
        <v>3.8461538461538463</v>
      </c>
      <c r="Q497" s="4">
        <f t="shared" si="52"/>
        <v>3.9835051020733347E-4</v>
      </c>
    </row>
    <row r="498" spans="1:17">
      <c r="A498" s="1" t="s">
        <v>155</v>
      </c>
      <c r="B498" s="1" t="s">
        <v>20</v>
      </c>
      <c r="C498" s="1" t="s">
        <v>29</v>
      </c>
      <c r="D498" s="1" t="s">
        <v>392</v>
      </c>
      <c r="E498" s="1">
        <v>39149</v>
      </c>
      <c r="F498" s="1">
        <v>54253</v>
      </c>
      <c r="G498" s="1">
        <f t="shared" si="49"/>
        <v>93402</v>
      </c>
      <c r="H498" s="1">
        <v>25731</v>
      </c>
      <c r="I498" s="1">
        <v>5</v>
      </c>
      <c r="J498" s="1">
        <v>46</v>
      </c>
      <c r="K498" s="1">
        <f t="shared" si="55"/>
        <v>1183626</v>
      </c>
      <c r="L498" s="1">
        <v>1</v>
      </c>
      <c r="M498" s="1">
        <f t="shared" si="53"/>
        <v>1157895</v>
      </c>
      <c r="N498" s="1">
        <f t="shared" si="54"/>
        <v>1064493</v>
      </c>
      <c r="O498" s="4">
        <f t="shared" si="50"/>
        <v>0.91933465469666942</v>
      </c>
      <c r="P498" s="4">
        <f t="shared" si="51"/>
        <v>2.2222222222222223</v>
      </c>
      <c r="Q498" s="4">
        <f t="shared" si="52"/>
        <v>4.2243073403254065E-4</v>
      </c>
    </row>
    <row r="499" spans="1:17">
      <c r="A499" s="1" t="s">
        <v>156</v>
      </c>
      <c r="B499" s="1" t="s">
        <v>20</v>
      </c>
      <c r="C499" s="1" t="s">
        <v>29</v>
      </c>
      <c r="D499" s="1" t="s">
        <v>392</v>
      </c>
      <c r="E499" s="1">
        <v>14158</v>
      </c>
      <c r="F499" s="1">
        <v>353545</v>
      </c>
      <c r="G499" s="1">
        <f t="shared" si="49"/>
        <v>367703</v>
      </c>
      <c r="H499" s="1">
        <v>70350</v>
      </c>
      <c r="I499" s="1">
        <v>10</v>
      </c>
      <c r="J499" s="1">
        <v>92</v>
      </c>
      <c r="K499" s="1">
        <f t="shared" si="55"/>
        <v>6472200</v>
      </c>
      <c r="L499" s="1">
        <v>10</v>
      </c>
      <c r="M499" s="1">
        <f t="shared" si="53"/>
        <v>5768700</v>
      </c>
      <c r="N499" s="1">
        <f t="shared" si="54"/>
        <v>5400997</v>
      </c>
      <c r="O499" s="4">
        <f t="shared" si="50"/>
        <v>0.93625894915665575</v>
      </c>
      <c r="P499" s="4">
        <f t="shared" si="51"/>
        <v>12.195121951219512</v>
      </c>
      <c r="Q499" s="4">
        <f t="shared" si="52"/>
        <v>1.5450696826426873E-4</v>
      </c>
    </row>
    <row r="500" spans="1:17">
      <c r="A500" s="1" t="s">
        <v>157</v>
      </c>
      <c r="B500" s="1" t="s">
        <v>14</v>
      </c>
      <c r="C500" s="1" t="s">
        <v>21</v>
      </c>
      <c r="D500" s="1" t="s">
        <v>392</v>
      </c>
      <c r="E500" s="1">
        <v>27768</v>
      </c>
      <c r="F500" s="1">
        <v>180949</v>
      </c>
      <c r="G500" s="1">
        <f t="shared" si="49"/>
        <v>208717</v>
      </c>
      <c r="H500" s="1">
        <v>75427</v>
      </c>
      <c r="I500" s="1">
        <v>10</v>
      </c>
      <c r="J500" s="1">
        <v>79</v>
      </c>
      <c r="K500" s="1">
        <f t="shared" si="55"/>
        <v>5958733</v>
      </c>
      <c r="L500" s="1">
        <v>0</v>
      </c>
      <c r="M500" s="1">
        <f t="shared" si="53"/>
        <v>5958733</v>
      </c>
      <c r="N500" s="1">
        <f t="shared" si="54"/>
        <v>5750016</v>
      </c>
      <c r="O500" s="4">
        <f t="shared" si="50"/>
        <v>0.96497292293512726</v>
      </c>
      <c r="P500" s="4">
        <f t="shared" si="51"/>
        <v>0</v>
      </c>
      <c r="Q500" s="4">
        <f t="shared" si="52"/>
        <v>1.6782091092183522E-4</v>
      </c>
    </row>
    <row r="501" spans="1:17">
      <c r="A501" s="1" t="s">
        <v>158</v>
      </c>
      <c r="B501" s="1" t="s">
        <v>17</v>
      </c>
      <c r="C501" s="1" t="s">
        <v>15</v>
      </c>
      <c r="D501" s="1" t="s">
        <v>392</v>
      </c>
      <c r="E501" s="1">
        <v>32971</v>
      </c>
      <c r="F501" s="1">
        <v>236725</v>
      </c>
      <c r="G501" s="1">
        <f t="shared" si="49"/>
        <v>269696</v>
      </c>
      <c r="H501" s="1">
        <v>29500</v>
      </c>
      <c r="I501" s="1">
        <v>20</v>
      </c>
      <c r="J501" s="1">
        <v>53</v>
      </c>
      <c r="K501" s="1">
        <f t="shared" si="55"/>
        <v>1563500</v>
      </c>
      <c r="L501" s="1">
        <v>29</v>
      </c>
      <c r="M501" s="1">
        <f t="shared" si="53"/>
        <v>708000</v>
      </c>
      <c r="N501" s="1">
        <f t="shared" si="54"/>
        <v>438304</v>
      </c>
      <c r="O501" s="4">
        <f t="shared" si="50"/>
        <v>0.61907344632768357</v>
      </c>
      <c r="P501" s="4">
        <f t="shared" si="51"/>
        <v>120.83333333333333</v>
      </c>
      <c r="Q501" s="4">
        <f t="shared" si="52"/>
        <v>1.2791813239526704E-3</v>
      </c>
    </row>
    <row r="502" spans="1:17">
      <c r="A502" s="1" t="s">
        <v>159</v>
      </c>
      <c r="B502" s="1" t="s">
        <v>20</v>
      </c>
      <c r="C502" s="1" t="s">
        <v>29</v>
      </c>
      <c r="D502" s="1" t="s">
        <v>391</v>
      </c>
      <c r="E502" s="1">
        <v>18701</v>
      </c>
      <c r="F502" s="1">
        <v>256232</v>
      </c>
      <c r="G502" s="1">
        <f t="shared" si="49"/>
        <v>274933</v>
      </c>
      <c r="H502" s="1">
        <v>42375</v>
      </c>
      <c r="I502" s="1">
        <v>10</v>
      </c>
      <c r="J502" s="1">
        <v>78</v>
      </c>
      <c r="K502" s="1">
        <f t="shared" si="55"/>
        <v>3305250</v>
      </c>
      <c r="L502" s="1">
        <v>40</v>
      </c>
      <c r="M502" s="1">
        <f t="shared" si="53"/>
        <v>1610250</v>
      </c>
      <c r="N502" s="1">
        <f t="shared" si="54"/>
        <v>1335317</v>
      </c>
      <c r="O502" s="4">
        <f t="shared" si="50"/>
        <v>0.82926067380841484</v>
      </c>
      <c r="P502" s="4">
        <f t="shared" si="51"/>
        <v>105.26315789473684</v>
      </c>
      <c r="Q502" s="4">
        <f t="shared" si="52"/>
        <v>3.0254897511534679E-4</v>
      </c>
    </row>
    <row r="503" spans="1:17">
      <c r="A503" s="1" t="s">
        <v>160</v>
      </c>
      <c r="B503" s="1" t="s">
        <v>26</v>
      </c>
      <c r="C503" s="1" t="s">
        <v>21</v>
      </c>
      <c r="D503" s="1" t="s">
        <v>392</v>
      </c>
      <c r="E503" s="1">
        <v>42368</v>
      </c>
      <c r="F503" s="1">
        <v>137900</v>
      </c>
      <c r="G503" s="1">
        <f t="shared" si="49"/>
        <v>180268</v>
      </c>
      <c r="H503" s="1">
        <v>19414</v>
      </c>
      <c r="I503" s="1">
        <v>10</v>
      </c>
      <c r="J503" s="1">
        <v>25</v>
      </c>
      <c r="K503" s="1">
        <f t="shared" si="55"/>
        <v>485350</v>
      </c>
      <c r="L503" s="1">
        <v>29</v>
      </c>
      <c r="M503" s="1">
        <f t="shared" si="53"/>
        <v>-77656</v>
      </c>
      <c r="N503" s="1">
        <f t="shared" si="54"/>
        <v>-257924</v>
      </c>
      <c r="O503" s="4">
        <f t="shared" si="50"/>
        <v>-3.3213660245183889</v>
      </c>
      <c r="P503" s="4">
        <f t="shared" si="51"/>
        <v>-725</v>
      </c>
      <c r="Q503" s="4">
        <f t="shared" si="52"/>
        <v>2.0603688060162771E-3</v>
      </c>
    </row>
    <row r="504" spans="1:17">
      <c r="A504" s="1" t="s">
        <v>161</v>
      </c>
      <c r="B504" s="1" t="s">
        <v>20</v>
      </c>
      <c r="C504" s="1" t="s">
        <v>18</v>
      </c>
      <c r="D504" s="1" t="s">
        <v>391</v>
      </c>
      <c r="E504" s="1">
        <v>33393</v>
      </c>
      <c r="F504" s="1">
        <v>331435</v>
      </c>
      <c r="G504" s="1">
        <f t="shared" si="49"/>
        <v>364828</v>
      </c>
      <c r="H504" s="1">
        <v>37445</v>
      </c>
      <c r="I504" s="1">
        <v>10</v>
      </c>
      <c r="J504" s="1">
        <v>123</v>
      </c>
      <c r="K504" s="1">
        <f t="shared" si="55"/>
        <v>4605735</v>
      </c>
      <c r="L504" s="1">
        <v>30</v>
      </c>
      <c r="M504" s="1">
        <f t="shared" si="53"/>
        <v>3482385</v>
      </c>
      <c r="N504" s="1">
        <f t="shared" si="54"/>
        <v>3117557</v>
      </c>
      <c r="O504" s="4">
        <f t="shared" si="50"/>
        <v>0.89523616716704213</v>
      </c>
      <c r="P504" s="4">
        <f t="shared" si="51"/>
        <v>32.258064516129032</v>
      </c>
      <c r="Q504" s="4">
        <f t="shared" si="52"/>
        <v>2.1712061158533872E-4</v>
      </c>
    </row>
    <row r="505" spans="1:17">
      <c r="A505" s="1" t="s">
        <v>162</v>
      </c>
      <c r="B505" s="1" t="s">
        <v>26</v>
      </c>
      <c r="C505" s="1" t="s">
        <v>29</v>
      </c>
      <c r="D505" s="1" t="s">
        <v>392</v>
      </c>
      <c r="E505" s="1">
        <v>25220</v>
      </c>
      <c r="F505" s="1">
        <v>377819</v>
      </c>
      <c r="G505" s="1">
        <f t="shared" si="49"/>
        <v>403039</v>
      </c>
      <c r="H505" s="1">
        <v>45418</v>
      </c>
      <c r="I505" s="1">
        <v>10</v>
      </c>
      <c r="J505" s="1">
        <v>138</v>
      </c>
      <c r="K505" s="1">
        <f t="shared" si="55"/>
        <v>6267684</v>
      </c>
      <c r="L505" s="1">
        <v>0</v>
      </c>
      <c r="M505" s="1">
        <f t="shared" si="53"/>
        <v>6267684</v>
      </c>
      <c r="N505" s="1">
        <f t="shared" si="54"/>
        <v>5864645</v>
      </c>
      <c r="O505" s="4">
        <f t="shared" si="50"/>
        <v>0.93569570514403722</v>
      </c>
      <c r="P505" s="4">
        <f t="shared" si="51"/>
        <v>0</v>
      </c>
      <c r="Q505" s="4">
        <f t="shared" si="52"/>
        <v>1.5954856690286235E-4</v>
      </c>
    </row>
    <row r="506" spans="1:17">
      <c r="A506" s="1" t="s">
        <v>163</v>
      </c>
      <c r="B506" s="1" t="s">
        <v>20</v>
      </c>
      <c r="C506" s="1" t="s">
        <v>29</v>
      </c>
      <c r="D506" s="1" t="s">
        <v>391</v>
      </c>
      <c r="E506" s="1">
        <v>48160</v>
      </c>
      <c r="F506" s="1">
        <v>292080</v>
      </c>
      <c r="G506" s="1">
        <f t="shared" si="49"/>
        <v>340240</v>
      </c>
      <c r="H506" s="1">
        <v>68878</v>
      </c>
      <c r="I506" s="1">
        <v>15</v>
      </c>
      <c r="J506" s="1">
        <v>85</v>
      </c>
      <c r="K506" s="1">
        <f t="shared" si="55"/>
        <v>5854630</v>
      </c>
      <c r="L506" s="1">
        <v>91</v>
      </c>
      <c r="M506" s="1">
        <f t="shared" si="53"/>
        <v>-413268</v>
      </c>
      <c r="N506" s="1">
        <f t="shared" si="54"/>
        <v>-753508</v>
      </c>
      <c r="O506" s="4">
        <f t="shared" si="50"/>
        <v>-1.8232914234830666</v>
      </c>
      <c r="P506" s="4">
        <f t="shared" si="51"/>
        <v>-1516.6666666666665</v>
      </c>
      <c r="Q506" s="4">
        <f t="shared" si="52"/>
        <v>2.562074802335929E-4</v>
      </c>
    </row>
    <row r="507" spans="1:17">
      <c r="A507" s="1" t="s">
        <v>164</v>
      </c>
      <c r="B507" s="1" t="s">
        <v>17</v>
      </c>
      <c r="C507" s="1" t="s">
        <v>18</v>
      </c>
      <c r="D507" s="1" t="s">
        <v>391</v>
      </c>
      <c r="E507" s="1">
        <v>45315</v>
      </c>
      <c r="F507" s="1">
        <v>283488</v>
      </c>
      <c r="G507" s="1">
        <f t="shared" si="49"/>
        <v>328803</v>
      </c>
      <c r="H507" s="1">
        <v>34419</v>
      </c>
      <c r="I507" s="1">
        <v>5</v>
      </c>
      <c r="J507" s="1">
        <v>69</v>
      </c>
      <c r="K507" s="1">
        <f t="shared" si="55"/>
        <v>2374911</v>
      </c>
      <c r="L507" s="1">
        <v>36</v>
      </c>
      <c r="M507" s="1">
        <f t="shared" si="53"/>
        <v>1135827</v>
      </c>
      <c r="N507" s="1">
        <f t="shared" si="54"/>
        <v>807024</v>
      </c>
      <c r="O507" s="4">
        <f t="shared" si="50"/>
        <v>0.71051665438486666</v>
      </c>
      <c r="P507" s="4">
        <f t="shared" si="51"/>
        <v>109.09090909090908</v>
      </c>
      <c r="Q507" s="4">
        <f t="shared" si="52"/>
        <v>2.1053420528179792E-4</v>
      </c>
    </row>
    <row r="508" spans="1:17">
      <c r="A508" s="1" t="s">
        <v>165</v>
      </c>
      <c r="B508" s="1" t="s">
        <v>20</v>
      </c>
      <c r="C508" s="1" t="s">
        <v>18</v>
      </c>
      <c r="D508" s="1" t="s">
        <v>392</v>
      </c>
      <c r="E508" s="1">
        <v>33141</v>
      </c>
      <c r="F508" s="1">
        <v>202521</v>
      </c>
      <c r="G508" s="1">
        <f t="shared" si="49"/>
        <v>235662</v>
      </c>
      <c r="H508" s="1">
        <v>67388</v>
      </c>
      <c r="I508" s="1">
        <v>15</v>
      </c>
      <c r="J508" s="1">
        <v>12</v>
      </c>
      <c r="K508" s="1">
        <f t="shared" si="55"/>
        <v>808656</v>
      </c>
      <c r="L508" s="1">
        <v>33</v>
      </c>
      <c r="M508" s="1">
        <f t="shared" si="53"/>
        <v>-1415148</v>
      </c>
      <c r="N508" s="1">
        <f t="shared" si="54"/>
        <v>-1650810</v>
      </c>
      <c r="O508" s="4">
        <f t="shared" si="50"/>
        <v>-1.1665281652519737</v>
      </c>
      <c r="P508" s="4">
        <f t="shared" si="51"/>
        <v>-157.14285714285714</v>
      </c>
      <c r="Q508" s="4">
        <f t="shared" si="52"/>
        <v>1.8549296610672525E-3</v>
      </c>
    </row>
    <row r="509" spans="1:17">
      <c r="A509" s="1" t="s">
        <v>166</v>
      </c>
      <c r="B509" s="1" t="s">
        <v>14</v>
      </c>
      <c r="C509" s="1" t="s">
        <v>21</v>
      </c>
      <c r="D509" s="1" t="s">
        <v>392</v>
      </c>
      <c r="E509" s="1">
        <v>28229</v>
      </c>
      <c r="F509" s="1">
        <v>329670</v>
      </c>
      <c r="G509" s="1">
        <f t="shared" si="49"/>
        <v>357899</v>
      </c>
      <c r="H509" s="1">
        <v>77348</v>
      </c>
      <c r="I509" s="1">
        <v>10</v>
      </c>
      <c r="J509" s="1">
        <v>50</v>
      </c>
      <c r="K509" s="1">
        <f t="shared" si="55"/>
        <v>3867400</v>
      </c>
      <c r="L509" s="1">
        <v>17</v>
      </c>
      <c r="M509" s="1">
        <f t="shared" si="53"/>
        <v>2552484</v>
      </c>
      <c r="N509" s="1">
        <f t="shared" si="54"/>
        <v>2194585</v>
      </c>
      <c r="O509" s="4">
        <f t="shared" si="50"/>
        <v>0.85978403782354762</v>
      </c>
      <c r="P509" s="4">
        <f t="shared" si="51"/>
        <v>51.515151515151516</v>
      </c>
      <c r="Q509" s="4">
        <f t="shared" si="52"/>
        <v>2.5857165020427158E-4</v>
      </c>
    </row>
    <row r="510" spans="1:17">
      <c r="A510" s="1" t="s">
        <v>167</v>
      </c>
      <c r="B510" s="1" t="s">
        <v>14</v>
      </c>
      <c r="C510" s="1" t="s">
        <v>15</v>
      </c>
      <c r="D510" s="1" t="s">
        <v>391</v>
      </c>
      <c r="E510" s="1">
        <v>35679</v>
      </c>
      <c r="F510" s="1">
        <v>319073</v>
      </c>
      <c r="G510" s="1">
        <f t="shared" si="49"/>
        <v>354752</v>
      </c>
      <c r="H510" s="1">
        <v>21685</v>
      </c>
      <c r="I510" s="1">
        <v>15</v>
      </c>
      <c r="J510" s="1">
        <v>89</v>
      </c>
      <c r="K510" s="1">
        <f t="shared" si="55"/>
        <v>1929965</v>
      </c>
      <c r="L510" s="1">
        <v>8</v>
      </c>
      <c r="M510" s="1">
        <f t="shared" si="53"/>
        <v>1756485</v>
      </c>
      <c r="N510" s="1">
        <f t="shared" si="54"/>
        <v>1401733</v>
      </c>
      <c r="O510" s="4">
        <f t="shared" si="50"/>
        <v>0.79803300341306649</v>
      </c>
      <c r="P510" s="4">
        <f t="shared" si="51"/>
        <v>9.8765432098765427</v>
      </c>
      <c r="Q510" s="4">
        <f t="shared" si="52"/>
        <v>7.7721616713256458E-4</v>
      </c>
    </row>
    <row r="511" spans="1:17">
      <c r="A511" s="1" t="s">
        <v>168</v>
      </c>
      <c r="B511" s="1" t="s">
        <v>20</v>
      </c>
      <c r="C511" s="1" t="s">
        <v>21</v>
      </c>
      <c r="D511" s="1" t="s">
        <v>391</v>
      </c>
      <c r="E511" s="1">
        <v>6966</v>
      </c>
      <c r="F511" s="1">
        <v>152903</v>
      </c>
      <c r="G511" s="1">
        <f t="shared" si="49"/>
        <v>159869</v>
      </c>
      <c r="H511" s="1">
        <v>55940</v>
      </c>
      <c r="I511" s="1">
        <v>10</v>
      </c>
      <c r="J511" s="1">
        <v>76</v>
      </c>
      <c r="K511" s="1">
        <f t="shared" si="55"/>
        <v>4251440</v>
      </c>
      <c r="L511" s="1">
        <v>24</v>
      </c>
      <c r="M511" s="1">
        <f t="shared" si="53"/>
        <v>2908880</v>
      </c>
      <c r="N511" s="1">
        <f t="shared" si="54"/>
        <v>2749011</v>
      </c>
      <c r="O511" s="4">
        <f t="shared" si="50"/>
        <v>0.94504104672588762</v>
      </c>
      <c r="P511" s="4">
        <f t="shared" si="51"/>
        <v>46.153846153846153</v>
      </c>
      <c r="Q511" s="4">
        <f t="shared" si="52"/>
        <v>2.3521442146660898E-4</v>
      </c>
    </row>
    <row r="512" spans="1:17">
      <c r="A512" s="1" t="s">
        <v>169</v>
      </c>
      <c r="B512" s="1" t="s">
        <v>20</v>
      </c>
      <c r="C512" s="1" t="s">
        <v>21</v>
      </c>
      <c r="D512" s="1" t="s">
        <v>391</v>
      </c>
      <c r="E512" s="1">
        <v>22420</v>
      </c>
      <c r="F512" s="1">
        <v>76277</v>
      </c>
      <c r="G512" s="1">
        <f t="shared" si="49"/>
        <v>98697</v>
      </c>
      <c r="H512" s="1">
        <v>45818</v>
      </c>
      <c r="I512" s="1">
        <v>5</v>
      </c>
      <c r="J512" s="1">
        <v>78</v>
      </c>
      <c r="K512" s="1">
        <f t="shared" si="55"/>
        <v>3573804</v>
      </c>
      <c r="L512" s="1">
        <v>19</v>
      </c>
      <c r="M512" s="1">
        <f t="shared" si="53"/>
        <v>2703262</v>
      </c>
      <c r="N512" s="1">
        <f t="shared" si="54"/>
        <v>2604565</v>
      </c>
      <c r="O512" s="4">
        <f t="shared" si="50"/>
        <v>0.96348966544863202</v>
      </c>
      <c r="P512" s="4">
        <f t="shared" si="51"/>
        <v>32.20338983050847</v>
      </c>
      <c r="Q512" s="4">
        <f t="shared" si="52"/>
        <v>1.3990694509267995E-4</v>
      </c>
    </row>
    <row r="513" spans="1:17">
      <c r="A513" s="1" t="s">
        <v>170</v>
      </c>
      <c r="B513" s="1" t="s">
        <v>14</v>
      </c>
      <c r="C513" s="1" t="s">
        <v>21</v>
      </c>
      <c r="D513" s="1" t="s">
        <v>392</v>
      </c>
      <c r="E513" s="1">
        <v>13242</v>
      </c>
      <c r="F513" s="1">
        <v>94848</v>
      </c>
      <c r="G513" s="1">
        <f t="shared" si="49"/>
        <v>108090</v>
      </c>
      <c r="H513" s="1">
        <v>66924</v>
      </c>
      <c r="I513" s="1">
        <v>10</v>
      </c>
      <c r="J513" s="1">
        <v>103</v>
      </c>
      <c r="K513" s="1">
        <f t="shared" si="55"/>
        <v>6893172</v>
      </c>
      <c r="L513" s="1">
        <v>40</v>
      </c>
      <c r="M513" s="1">
        <f t="shared" si="53"/>
        <v>4216212</v>
      </c>
      <c r="N513" s="1">
        <f t="shared" si="54"/>
        <v>4108122</v>
      </c>
      <c r="O513" s="4">
        <f t="shared" si="50"/>
        <v>0.97436324359401283</v>
      </c>
      <c r="P513" s="4">
        <f t="shared" si="51"/>
        <v>63.492063492063487</v>
      </c>
      <c r="Q513" s="4">
        <f t="shared" si="52"/>
        <v>1.4507109354010026E-4</v>
      </c>
    </row>
    <row r="514" spans="1:17">
      <c r="A514" s="1" t="s">
        <v>171</v>
      </c>
      <c r="B514" s="1" t="s">
        <v>20</v>
      </c>
      <c r="C514" s="1" t="s">
        <v>15</v>
      </c>
      <c r="D514" s="1" t="s">
        <v>392</v>
      </c>
      <c r="E514" s="1">
        <v>19251</v>
      </c>
      <c r="F514" s="1">
        <v>174420</v>
      </c>
      <c r="G514" s="1">
        <f t="shared" si="49"/>
        <v>193671</v>
      </c>
      <c r="H514" s="1">
        <v>10956</v>
      </c>
      <c r="I514" s="1">
        <v>15</v>
      </c>
      <c r="J514" s="1">
        <v>58</v>
      </c>
      <c r="K514" s="1">
        <f t="shared" si="55"/>
        <v>635448</v>
      </c>
      <c r="L514" s="1">
        <v>33</v>
      </c>
      <c r="M514" s="1">
        <f t="shared" si="53"/>
        <v>273900</v>
      </c>
      <c r="N514" s="1">
        <f t="shared" si="54"/>
        <v>80229</v>
      </c>
      <c r="O514" s="4">
        <f t="shared" si="50"/>
        <v>0.2929134720700986</v>
      </c>
      <c r="P514" s="4">
        <f t="shared" si="51"/>
        <v>132</v>
      </c>
      <c r="Q514" s="4">
        <f t="shared" si="52"/>
        <v>2.3605393360274954E-3</v>
      </c>
    </row>
    <row r="515" spans="1:17">
      <c r="A515" s="1" t="s">
        <v>172</v>
      </c>
      <c r="B515" s="1" t="s">
        <v>20</v>
      </c>
      <c r="C515" s="1" t="s">
        <v>18</v>
      </c>
      <c r="D515" s="1" t="s">
        <v>391</v>
      </c>
      <c r="E515" s="1">
        <v>16730</v>
      </c>
      <c r="F515" s="1">
        <v>172671</v>
      </c>
      <c r="G515" s="1">
        <f t="shared" ref="G515:G578" si="56">E515+F515</f>
        <v>189401</v>
      </c>
      <c r="H515" s="1">
        <v>70885</v>
      </c>
      <c r="I515" s="1">
        <v>15</v>
      </c>
      <c r="J515" s="1">
        <v>91</v>
      </c>
      <c r="K515" s="1">
        <f t="shared" si="55"/>
        <v>6450535</v>
      </c>
      <c r="L515" s="1">
        <v>11</v>
      </c>
      <c r="M515" s="1">
        <f t="shared" si="53"/>
        <v>5670800</v>
      </c>
      <c r="N515" s="1">
        <f t="shared" si="54"/>
        <v>5481399</v>
      </c>
      <c r="O515" s="4">
        <f t="shared" ref="O515:O578" si="57">SUM(N515/ABS(M515))</f>
        <v>0.96660065599209988</v>
      </c>
      <c r="P515" s="4">
        <f t="shared" ref="P515:P578" si="58">SUM(H515*L515)/M515*100</f>
        <v>13.750000000000002</v>
      </c>
      <c r="Q515" s="4">
        <f t="shared" ref="Q515:Q578" si="59">I515/K515*100</f>
        <v>2.3253885142860242E-4</v>
      </c>
    </row>
    <row r="516" spans="1:17">
      <c r="A516" s="1" t="s">
        <v>173</v>
      </c>
      <c r="B516" s="1" t="s">
        <v>26</v>
      </c>
      <c r="C516" s="1" t="s">
        <v>21</v>
      </c>
      <c r="D516" s="1" t="s">
        <v>392</v>
      </c>
      <c r="E516" s="1">
        <v>42304</v>
      </c>
      <c r="F516" s="1">
        <v>103939</v>
      </c>
      <c r="G516" s="1">
        <f t="shared" si="56"/>
        <v>146243</v>
      </c>
      <c r="H516" s="1">
        <v>17221</v>
      </c>
      <c r="I516" s="1">
        <v>10</v>
      </c>
      <c r="J516" s="1">
        <v>14</v>
      </c>
      <c r="K516" s="1">
        <f t="shared" si="55"/>
        <v>241094</v>
      </c>
      <c r="L516" s="1">
        <v>12</v>
      </c>
      <c r="M516" s="1">
        <f t="shared" ref="M516:M579" si="60">K516-H516*L516</f>
        <v>34442</v>
      </c>
      <c r="N516" s="1">
        <f t="shared" ref="N516:N579" si="61">M516-G516</f>
        <v>-111801</v>
      </c>
      <c r="O516" s="4">
        <f t="shared" si="57"/>
        <v>-3.2460658498345043</v>
      </c>
      <c r="P516" s="4">
        <f t="shared" si="58"/>
        <v>600</v>
      </c>
      <c r="Q516" s="4">
        <f t="shared" si="59"/>
        <v>4.147759794934756E-3</v>
      </c>
    </row>
    <row r="517" spans="1:17">
      <c r="A517" s="1" t="s">
        <v>174</v>
      </c>
      <c r="B517" s="1" t="s">
        <v>17</v>
      </c>
      <c r="C517" s="1" t="s">
        <v>21</v>
      </c>
      <c r="D517" s="1" t="s">
        <v>392</v>
      </c>
      <c r="E517" s="1">
        <v>10253</v>
      </c>
      <c r="F517" s="1">
        <v>327990</v>
      </c>
      <c r="G517" s="1">
        <f t="shared" si="56"/>
        <v>338243</v>
      </c>
      <c r="H517" s="1">
        <v>81576</v>
      </c>
      <c r="I517" s="1">
        <v>0</v>
      </c>
      <c r="J517" s="1">
        <v>66</v>
      </c>
      <c r="K517" s="1">
        <f t="shared" ref="K517:K580" si="62">H517*J517</f>
        <v>5384016</v>
      </c>
      <c r="L517" s="1">
        <v>27</v>
      </c>
      <c r="M517" s="1">
        <f t="shared" si="60"/>
        <v>3181464</v>
      </c>
      <c r="N517" s="1">
        <f t="shared" si="61"/>
        <v>2843221</v>
      </c>
      <c r="O517" s="4">
        <f t="shared" si="57"/>
        <v>0.89368322256671773</v>
      </c>
      <c r="P517" s="4">
        <f t="shared" si="58"/>
        <v>69.230769230769226</v>
      </c>
      <c r="Q517" s="4">
        <f t="shared" si="59"/>
        <v>0</v>
      </c>
    </row>
    <row r="518" spans="1:17">
      <c r="A518" s="1" t="s">
        <v>175</v>
      </c>
      <c r="B518" s="1" t="s">
        <v>26</v>
      </c>
      <c r="C518" s="1" t="s">
        <v>21</v>
      </c>
      <c r="D518" s="1" t="s">
        <v>392</v>
      </c>
      <c r="E518" s="1">
        <v>6307</v>
      </c>
      <c r="F518" s="1">
        <v>236639</v>
      </c>
      <c r="G518" s="1">
        <f t="shared" si="56"/>
        <v>242946</v>
      </c>
      <c r="H518" s="1">
        <v>82889</v>
      </c>
      <c r="I518" s="1">
        <v>15</v>
      </c>
      <c r="J518" s="1">
        <v>46</v>
      </c>
      <c r="K518" s="1">
        <f t="shared" si="62"/>
        <v>3812894</v>
      </c>
      <c r="L518" s="1">
        <v>28</v>
      </c>
      <c r="M518" s="1">
        <f t="shared" si="60"/>
        <v>1492002</v>
      </c>
      <c r="N518" s="1">
        <f t="shared" si="61"/>
        <v>1249056</v>
      </c>
      <c r="O518" s="4">
        <f t="shared" si="57"/>
        <v>0.83716777859547109</v>
      </c>
      <c r="P518" s="4">
        <f t="shared" si="58"/>
        <v>155.55555555555557</v>
      </c>
      <c r="Q518" s="4">
        <f t="shared" si="59"/>
        <v>3.9340196711474276E-4</v>
      </c>
    </row>
    <row r="519" spans="1:17">
      <c r="A519" s="1" t="s">
        <v>176</v>
      </c>
      <c r="B519" s="1" t="s">
        <v>26</v>
      </c>
      <c r="C519" s="1" t="s">
        <v>15</v>
      </c>
      <c r="D519" s="1" t="s">
        <v>391</v>
      </c>
      <c r="E519" s="1">
        <v>18645</v>
      </c>
      <c r="F519" s="1">
        <v>278698</v>
      </c>
      <c r="G519" s="1">
        <f t="shared" si="56"/>
        <v>297343</v>
      </c>
      <c r="H519" s="1">
        <v>31747</v>
      </c>
      <c r="I519" s="1">
        <v>0</v>
      </c>
      <c r="J519" s="1">
        <v>125</v>
      </c>
      <c r="K519" s="1">
        <f t="shared" si="62"/>
        <v>3968375</v>
      </c>
      <c r="L519" s="1">
        <v>15</v>
      </c>
      <c r="M519" s="1">
        <f t="shared" si="60"/>
        <v>3492170</v>
      </c>
      <c r="N519" s="1">
        <f t="shared" si="61"/>
        <v>3194827</v>
      </c>
      <c r="O519" s="4">
        <f t="shared" si="57"/>
        <v>0.9148543742143137</v>
      </c>
      <c r="P519" s="4">
        <f t="shared" si="58"/>
        <v>13.636363636363635</v>
      </c>
      <c r="Q519" s="4">
        <f t="shared" si="59"/>
        <v>0</v>
      </c>
    </row>
    <row r="520" spans="1:17">
      <c r="A520" s="1" t="s">
        <v>177</v>
      </c>
      <c r="B520" s="1" t="s">
        <v>17</v>
      </c>
      <c r="C520" s="1" t="s">
        <v>15</v>
      </c>
      <c r="D520" s="1" t="s">
        <v>391</v>
      </c>
      <c r="E520" s="1">
        <v>13992</v>
      </c>
      <c r="F520" s="1">
        <v>208399</v>
      </c>
      <c r="G520" s="1">
        <f t="shared" si="56"/>
        <v>222391</v>
      </c>
      <c r="H520" s="1">
        <v>16671</v>
      </c>
      <c r="I520" s="1">
        <v>5</v>
      </c>
      <c r="J520" s="1">
        <v>123</v>
      </c>
      <c r="K520" s="1">
        <f t="shared" si="62"/>
        <v>2050533</v>
      </c>
      <c r="L520" s="1">
        <v>28</v>
      </c>
      <c r="M520" s="1">
        <f t="shared" si="60"/>
        <v>1583745</v>
      </c>
      <c r="N520" s="1">
        <f t="shared" si="61"/>
        <v>1361354</v>
      </c>
      <c r="O520" s="4">
        <f t="shared" si="57"/>
        <v>0.8595790357664902</v>
      </c>
      <c r="P520" s="4">
        <f t="shared" si="58"/>
        <v>29.473684210526311</v>
      </c>
      <c r="Q520" s="4">
        <f t="shared" si="59"/>
        <v>2.4383904087376307E-4</v>
      </c>
    </row>
    <row r="521" spans="1:17">
      <c r="A521" s="1" t="s">
        <v>178</v>
      </c>
      <c r="B521" s="1" t="s">
        <v>26</v>
      </c>
      <c r="C521" s="1" t="s">
        <v>29</v>
      </c>
      <c r="D521" s="1" t="s">
        <v>392</v>
      </c>
      <c r="E521" s="1">
        <v>43407</v>
      </c>
      <c r="F521" s="1">
        <v>383041</v>
      </c>
      <c r="G521" s="1">
        <f t="shared" si="56"/>
        <v>426448</v>
      </c>
      <c r="H521" s="1">
        <v>55270</v>
      </c>
      <c r="I521" s="1">
        <v>15</v>
      </c>
      <c r="J521" s="1">
        <v>60</v>
      </c>
      <c r="K521" s="1">
        <f t="shared" si="62"/>
        <v>3316200</v>
      </c>
      <c r="L521" s="1">
        <v>19</v>
      </c>
      <c r="M521" s="1">
        <f t="shared" si="60"/>
        <v>2266070</v>
      </c>
      <c r="N521" s="1">
        <f t="shared" si="61"/>
        <v>1839622</v>
      </c>
      <c r="O521" s="4">
        <f t="shared" si="57"/>
        <v>0.81181163865193928</v>
      </c>
      <c r="P521" s="4">
        <f t="shared" si="58"/>
        <v>46.341463414634148</v>
      </c>
      <c r="Q521" s="4">
        <f t="shared" si="59"/>
        <v>4.523249502442555E-4</v>
      </c>
    </row>
    <row r="522" spans="1:17">
      <c r="A522" s="1" t="s">
        <v>179</v>
      </c>
      <c r="B522" s="1" t="s">
        <v>26</v>
      </c>
      <c r="C522" s="1" t="s">
        <v>18</v>
      </c>
      <c r="D522" s="1" t="s">
        <v>392</v>
      </c>
      <c r="E522" s="1">
        <v>18528</v>
      </c>
      <c r="F522" s="1">
        <v>203346</v>
      </c>
      <c r="G522" s="1">
        <f t="shared" si="56"/>
        <v>221874</v>
      </c>
      <c r="H522" s="1">
        <v>53818</v>
      </c>
      <c r="I522" s="1">
        <v>10</v>
      </c>
      <c r="J522" s="1">
        <v>28</v>
      </c>
      <c r="K522" s="1">
        <f t="shared" si="62"/>
        <v>1506904</v>
      </c>
      <c r="L522" s="1">
        <v>36</v>
      </c>
      <c r="M522" s="1">
        <f t="shared" si="60"/>
        <v>-430544</v>
      </c>
      <c r="N522" s="1">
        <f t="shared" si="61"/>
        <v>-652418</v>
      </c>
      <c r="O522" s="4">
        <f t="shared" si="57"/>
        <v>-1.5153340889665168</v>
      </c>
      <c r="P522" s="4">
        <f t="shared" si="58"/>
        <v>-450</v>
      </c>
      <c r="Q522" s="4">
        <f t="shared" si="59"/>
        <v>6.6361228054341885E-4</v>
      </c>
    </row>
    <row r="523" spans="1:17">
      <c r="A523" s="1" t="s">
        <v>180</v>
      </c>
      <c r="B523" s="1" t="s">
        <v>17</v>
      </c>
      <c r="C523" s="1" t="s">
        <v>29</v>
      </c>
      <c r="D523" s="1" t="s">
        <v>392</v>
      </c>
      <c r="E523" s="1">
        <v>31614</v>
      </c>
      <c r="F523" s="1">
        <v>377799</v>
      </c>
      <c r="G523" s="1">
        <f t="shared" si="56"/>
        <v>409413</v>
      </c>
      <c r="H523" s="1">
        <v>18890</v>
      </c>
      <c r="I523" s="1">
        <v>20</v>
      </c>
      <c r="J523" s="1">
        <v>100</v>
      </c>
      <c r="K523" s="1">
        <f t="shared" si="62"/>
        <v>1889000</v>
      </c>
      <c r="L523" s="1">
        <v>37</v>
      </c>
      <c r="M523" s="1">
        <f t="shared" si="60"/>
        <v>1190070</v>
      </c>
      <c r="N523" s="1">
        <f t="shared" si="61"/>
        <v>780657</v>
      </c>
      <c r="O523" s="4">
        <f t="shared" si="57"/>
        <v>0.65597569890846752</v>
      </c>
      <c r="P523" s="4">
        <f t="shared" si="58"/>
        <v>58.730158730158735</v>
      </c>
      <c r="Q523" s="4">
        <f t="shared" si="59"/>
        <v>1.0587612493382743E-3</v>
      </c>
    </row>
    <row r="524" spans="1:17">
      <c r="A524" s="1" t="s">
        <v>181</v>
      </c>
      <c r="B524" s="1" t="s">
        <v>14</v>
      </c>
      <c r="C524" s="1" t="s">
        <v>31</v>
      </c>
      <c r="D524" s="1" t="s">
        <v>392</v>
      </c>
      <c r="E524" s="1">
        <v>20191</v>
      </c>
      <c r="F524" s="1">
        <v>190181</v>
      </c>
      <c r="G524" s="1">
        <f t="shared" si="56"/>
        <v>210372</v>
      </c>
      <c r="H524" s="1">
        <v>18245</v>
      </c>
      <c r="I524" s="1">
        <v>5</v>
      </c>
      <c r="J524" s="1">
        <v>47</v>
      </c>
      <c r="K524" s="1">
        <f t="shared" si="62"/>
        <v>857515</v>
      </c>
      <c r="L524" s="1">
        <v>5</v>
      </c>
      <c r="M524" s="1">
        <f t="shared" si="60"/>
        <v>766290</v>
      </c>
      <c r="N524" s="1">
        <f t="shared" si="61"/>
        <v>555918</v>
      </c>
      <c r="O524" s="4">
        <f t="shared" si="57"/>
        <v>0.72546685980503467</v>
      </c>
      <c r="P524" s="4">
        <f t="shared" si="58"/>
        <v>11.904761904761903</v>
      </c>
      <c r="Q524" s="4">
        <f t="shared" si="59"/>
        <v>5.8308017935546313E-4</v>
      </c>
    </row>
    <row r="525" spans="1:17">
      <c r="A525" s="1" t="s">
        <v>182</v>
      </c>
      <c r="B525" s="1" t="s">
        <v>17</v>
      </c>
      <c r="C525" s="1" t="s">
        <v>15</v>
      </c>
      <c r="D525" s="1" t="s">
        <v>391</v>
      </c>
      <c r="E525" s="1">
        <v>11859</v>
      </c>
      <c r="F525" s="1">
        <v>131958</v>
      </c>
      <c r="G525" s="1">
        <f t="shared" si="56"/>
        <v>143817</v>
      </c>
      <c r="H525" s="1">
        <v>42777</v>
      </c>
      <c r="I525" s="1">
        <v>10</v>
      </c>
      <c r="J525" s="1">
        <v>106</v>
      </c>
      <c r="K525" s="1">
        <f t="shared" si="62"/>
        <v>4534362</v>
      </c>
      <c r="L525" s="1">
        <v>39</v>
      </c>
      <c r="M525" s="1">
        <f t="shared" si="60"/>
        <v>2866059</v>
      </c>
      <c r="N525" s="1">
        <f t="shared" si="61"/>
        <v>2722242</v>
      </c>
      <c r="O525" s="4">
        <f t="shared" si="57"/>
        <v>0.94982064221287843</v>
      </c>
      <c r="P525" s="4">
        <f t="shared" si="58"/>
        <v>58.208955223880601</v>
      </c>
      <c r="Q525" s="4">
        <f t="shared" si="59"/>
        <v>2.2053819258365345E-4</v>
      </c>
    </row>
    <row r="526" spans="1:17">
      <c r="A526" s="1" t="s">
        <v>183</v>
      </c>
      <c r="B526" s="1" t="s">
        <v>26</v>
      </c>
      <c r="C526" s="1" t="s">
        <v>29</v>
      </c>
      <c r="D526" s="1" t="s">
        <v>392</v>
      </c>
      <c r="E526" s="1">
        <v>39322</v>
      </c>
      <c r="F526" s="1">
        <v>180429</v>
      </c>
      <c r="G526" s="1">
        <f t="shared" si="56"/>
        <v>219751</v>
      </c>
      <c r="H526" s="1">
        <v>40086</v>
      </c>
      <c r="I526" s="1">
        <v>15</v>
      </c>
      <c r="J526" s="1">
        <v>22</v>
      </c>
      <c r="K526" s="1">
        <f t="shared" si="62"/>
        <v>881892</v>
      </c>
      <c r="L526" s="1">
        <v>40</v>
      </c>
      <c r="M526" s="1">
        <f t="shared" si="60"/>
        <v>-721548</v>
      </c>
      <c r="N526" s="1">
        <f t="shared" si="61"/>
        <v>-941299</v>
      </c>
      <c r="O526" s="4">
        <f t="shared" si="57"/>
        <v>-1.3045549291246044</v>
      </c>
      <c r="P526" s="4">
        <f t="shared" si="58"/>
        <v>-222.22222222222223</v>
      </c>
      <c r="Q526" s="4">
        <f t="shared" si="59"/>
        <v>1.700888544175477E-3</v>
      </c>
    </row>
    <row r="527" spans="1:17">
      <c r="A527" s="1" t="s">
        <v>184</v>
      </c>
      <c r="B527" s="1" t="s">
        <v>20</v>
      </c>
      <c r="C527" s="1" t="s">
        <v>15</v>
      </c>
      <c r="D527" s="1" t="s">
        <v>392</v>
      </c>
      <c r="E527" s="1">
        <v>26806</v>
      </c>
      <c r="F527" s="1">
        <v>111359</v>
      </c>
      <c r="G527" s="1">
        <f t="shared" si="56"/>
        <v>138165</v>
      </c>
      <c r="H527" s="1">
        <v>42596</v>
      </c>
      <c r="I527" s="1">
        <v>10</v>
      </c>
      <c r="J527" s="1">
        <v>70</v>
      </c>
      <c r="K527" s="1">
        <f t="shared" si="62"/>
        <v>2981720</v>
      </c>
      <c r="L527" s="1">
        <v>37</v>
      </c>
      <c r="M527" s="1">
        <f t="shared" si="60"/>
        <v>1405668</v>
      </c>
      <c r="N527" s="1">
        <f t="shared" si="61"/>
        <v>1267503</v>
      </c>
      <c r="O527" s="4">
        <f t="shared" si="57"/>
        <v>0.90170865382152832</v>
      </c>
      <c r="P527" s="4">
        <f t="shared" si="58"/>
        <v>112.12121212121211</v>
      </c>
      <c r="Q527" s="4">
        <f t="shared" si="59"/>
        <v>3.3537689655635007E-4</v>
      </c>
    </row>
    <row r="528" spans="1:17">
      <c r="A528" s="1" t="s">
        <v>185</v>
      </c>
      <c r="B528" s="1" t="s">
        <v>17</v>
      </c>
      <c r="C528" s="1" t="s">
        <v>15</v>
      </c>
      <c r="D528" s="1" t="s">
        <v>391</v>
      </c>
      <c r="E528" s="1">
        <v>38133</v>
      </c>
      <c r="F528" s="1">
        <v>220826</v>
      </c>
      <c r="G528" s="1">
        <f t="shared" si="56"/>
        <v>258959</v>
      </c>
      <c r="H528" s="1">
        <v>10858</v>
      </c>
      <c r="I528" s="1">
        <v>10</v>
      </c>
      <c r="J528" s="1">
        <v>145</v>
      </c>
      <c r="K528" s="1">
        <f t="shared" si="62"/>
        <v>1574410</v>
      </c>
      <c r="L528" s="1">
        <v>38</v>
      </c>
      <c r="M528" s="1">
        <f t="shared" si="60"/>
        <v>1161806</v>
      </c>
      <c r="N528" s="1">
        <f t="shared" si="61"/>
        <v>902847</v>
      </c>
      <c r="O528" s="4">
        <f t="shared" si="57"/>
        <v>0.77710650487258626</v>
      </c>
      <c r="P528" s="4">
        <f t="shared" si="58"/>
        <v>35.514018691588781</v>
      </c>
      <c r="Q528" s="4">
        <f t="shared" si="59"/>
        <v>6.351585673363355E-4</v>
      </c>
    </row>
    <row r="529" spans="1:17">
      <c r="A529" s="1" t="s">
        <v>186</v>
      </c>
      <c r="B529" s="1" t="s">
        <v>20</v>
      </c>
      <c r="C529" s="1" t="s">
        <v>15</v>
      </c>
      <c r="D529" s="1" t="s">
        <v>391</v>
      </c>
      <c r="E529" s="1">
        <v>27391</v>
      </c>
      <c r="F529" s="1">
        <v>120989</v>
      </c>
      <c r="G529" s="1">
        <f t="shared" si="56"/>
        <v>148380</v>
      </c>
      <c r="H529" s="1">
        <v>78523</v>
      </c>
      <c r="I529" s="1">
        <v>20</v>
      </c>
      <c r="J529" s="1">
        <v>115</v>
      </c>
      <c r="K529" s="1">
        <f t="shared" si="62"/>
        <v>9030145</v>
      </c>
      <c r="L529" s="1">
        <v>23</v>
      </c>
      <c r="M529" s="1">
        <f t="shared" si="60"/>
        <v>7224116</v>
      </c>
      <c r="N529" s="1">
        <f t="shared" si="61"/>
        <v>7075736</v>
      </c>
      <c r="O529" s="4">
        <f t="shared" si="57"/>
        <v>0.97946046270574838</v>
      </c>
      <c r="P529" s="4">
        <f t="shared" si="58"/>
        <v>25</v>
      </c>
      <c r="Q529" s="4">
        <f t="shared" si="59"/>
        <v>2.2148038597386864E-4</v>
      </c>
    </row>
    <row r="530" spans="1:17">
      <c r="A530" s="1" t="s">
        <v>187</v>
      </c>
      <c r="B530" s="1" t="s">
        <v>17</v>
      </c>
      <c r="C530" s="1" t="s">
        <v>29</v>
      </c>
      <c r="D530" s="1" t="s">
        <v>391</v>
      </c>
      <c r="E530" s="1">
        <v>49654</v>
      </c>
      <c r="F530" s="1">
        <v>302117</v>
      </c>
      <c r="G530" s="1">
        <f t="shared" si="56"/>
        <v>351771</v>
      </c>
      <c r="H530" s="1">
        <v>25880</v>
      </c>
      <c r="I530" s="1">
        <v>10</v>
      </c>
      <c r="J530" s="1">
        <v>138</v>
      </c>
      <c r="K530" s="1">
        <f t="shared" si="62"/>
        <v>3571440</v>
      </c>
      <c r="L530" s="1">
        <v>19</v>
      </c>
      <c r="M530" s="1">
        <f t="shared" si="60"/>
        <v>3079720</v>
      </c>
      <c r="N530" s="1">
        <f t="shared" si="61"/>
        <v>2727949</v>
      </c>
      <c r="O530" s="4">
        <f t="shared" si="57"/>
        <v>0.88577825256841536</v>
      </c>
      <c r="P530" s="4">
        <f t="shared" si="58"/>
        <v>15.966386554621847</v>
      </c>
      <c r="Q530" s="4">
        <f t="shared" si="59"/>
        <v>2.799991040028672E-4</v>
      </c>
    </row>
    <row r="531" spans="1:17">
      <c r="A531" s="1" t="s">
        <v>188</v>
      </c>
      <c r="B531" s="1" t="s">
        <v>20</v>
      </c>
      <c r="C531" s="1" t="s">
        <v>29</v>
      </c>
      <c r="D531" s="1" t="s">
        <v>391</v>
      </c>
      <c r="E531" s="1">
        <v>11862</v>
      </c>
      <c r="F531" s="1">
        <v>284579</v>
      </c>
      <c r="G531" s="1">
        <f t="shared" si="56"/>
        <v>296441</v>
      </c>
      <c r="H531" s="1">
        <v>78711</v>
      </c>
      <c r="I531" s="1">
        <v>15</v>
      </c>
      <c r="J531" s="1">
        <v>131</v>
      </c>
      <c r="K531" s="1">
        <f t="shared" si="62"/>
        <v>10311141</v>
      </c>
      <c r="L531" s="1">
        <v>10</v>
      </c>
      <c r="M531" s="1">
        <f t="shared" si="60"/>
        <v>9524031</v>
      </c>
      <c r="N531" s="1">
        <f t="shared" si="61"/>
        <v>9227590</v>
      </c>
      <c r="O531" s="4">
        <f t="shared" si="57"/>
        <v>0.96887441882539016</v>
      </c>
      <c r="P531" s="4">
        <f t="shared" si="58"/>
        <v>8.2644628099173563</v>
      </c>
      <c r="Q531" s="4">
        <f t="shared" si="59"/>
        <v>1.4547371624536995E-4</v>
      </c>
    </row>
    <row r="532" spans="1:17">
      <c r="A532" s="1" t="s">
        <v>189</v>
      </c>
      <c r="B532" s="1" t="s">
        <v>17</v>
      </c>
      <c r="C532" s="1" t="s">
        <v>15</v>
      </c>
      <c r="D532" s="1" t="s">
        <v>391</v>
      </c>
      <c r="E532" s="1">
        <v>30012</v>
      </c>
      <c r="F532" s="1">
        <v>133682</v>
      </c>
      <c r="G532" s="1">
        <f t="shared" si="56"/>
        <v>163694</v>
      </c>
      <c r="H532" s="1">
        <v>69251</v>
      </c>
      <c r="I532" s="1">
        <v>20</v>
      </c>
      <c r="J532" s="1">
        <v>76</v>
      </c>
      <c r="K532" s="1">
        <f t="shared" si="62"/>
        <v>5263076</v>
      </c>
      <c r="L532" s="1">
        <v>35</v>
      </c>
      <c r="M532" s="1">
        <f t="shared" si="60"/>
        <v>2839291</v>
      </c>
      <c r="N532" s="1">
        <f t="shared" si="61"/>
        <v>2675597</v>
      </c>
      <c r="O532" s="4">
        <f t="shared" si="57"/>
        <v>0.94234687462468625</v>
      </c>
      <c r="P532" s="4">
        <f t="shared" si="58"/>
        <v>85.365853658536579</v>
      </c>
      <c r="Q532" s="4">
        <f t="shared" si="59"/>
        <v>3.800059128920046E-4</v>
      </c>
    </row>
    <row r="533" spans="1:17">
      <c r="A533" s="1" t="s">
        <v>190</v>
      </c>
      <c r="B533" s="1" t="s">
        <v>26</v>
      </c>
      <c r="C533" s="1" t="s">
        <v>21</v>
      </c>
      <c r="D533" s="1" t="s">
        <v>392</v>
      </c>
      <c r="E533" s="1">
        <v>30801</v>
      </c>
      <c r="F533" s="1">
        <v>198401</v>
      </c>
      <c r="G533" s="1">
        <f t="shared" si="56"/>
        <v>229202</v>
      </c>
      <c r="H533" s="1">
        <v>13183</v>
      </c>
      <c r="I533" s="1">
        <v>0</v>
      </c>
      <c r="J533" s="1">
        <v>121</v>
      </c>
      <c r="K533" s="1">
        <f t="shared" si="62"/>
        <v>1595143</v>
      </c>
      <c r="L533" s="1">
        <v>14</v>
      </c>
      <c r="M533" s="1">
        <f t="shared" si="60"/>
        <v>1410581</v>
      </c>
      <c r="N533" s="1">
        <f t="shared" si="61"/>
        <v>1181379</v>
      </c>
      <c r="O533" s="4">
        <f t="shared" si="57"/>
        <v>0.83751234420426757</v>
      </c>
      <c r="P533" s="4">
        <f t="shared" si="58"/>
        <v>13.084112149532709</v>
      </c>
      <c r="Q533" s="4">
        <f t="shared" si="59"/>
        <v>0</v>
      </c>
    </row>
    <row r="534" spans="1:17">
      <c r="A534" s="1" t="s">
        <v>191</v>
      </c>
      <c r="B534" s="1" t="s">
        <v>14</v>
      </c>
      <c r="C534" s="1" t="s">
        <v>15</v>
      </c>
      <c r="D534" s="1" t="s">
        <v>391</v>
      </c>
      <c r="E534" s="1">
        <v>41661</v>
      </c>
      <c r="F534" s="1">
        <v>74700</v>
      </c>
      <c r="G534" s="1">
        <f t="shared" si="56"/>
        <v>116361</v>
      </c>
      <c r="H534" s="1">
        <v>67781</v>
      </c>
      <c r="I534" s="1">
        <v>0</v>
      </c>
      <c r="J534" s="1">
        <v>100</v>
      </c>
      <c r="K534" s="1">
        <f t="shared" si="62"/>
        <v>6778100</v>
      </c>
      <c r="L534" s="1">
        <v>19</v>
      </c>
      <c r="M534" s="1">
        <f t="shared" si="60"/>
        <v>5490261</v>
      </c>
      <c r="N534" s="1">
        <f t="shared" si="61"/>
        <v>5373900</v>
      </c>
      <c r="O534" s="4">
        <f t="shared" si="57"/>
        <v>0.97880592561992952</v>
      </c>
      <c r="P534" s="4">
        <f t="shared" si="58"/>
        <v>23.456790123456788</v>
      </c>
      <c r="Q534" s="4">
        <f t="shared" si="59"/>
        <v>0</v>
      </c>
    </row>
    <row r="535" spans="1:17">
      <c r="A535" s="1" t="s">
        <v>192</v>
      </c>
      <c r="B535" s="1" t="s">
        <v>17</v>
      </c>
      <c r="C535" s="1" t="s">
        <v>15</v>
      </c>
      <c r="D535" s="1" t="s">
        <v>392</v>
      </c>
      <c r="E535" s="1">
        <v>25702</v>
      </c>
      <c r="F535" s="1">
        <v>92405</v>
      </c>
      <c r="G535" s="1">
        <f t="shared" si="56"/>
        <v>118107</v>
      </c>
      <c r="H535" s="1">
        <v>59762</v>
      </c>
      <c r="I535" s="1">
        <v>20</v>
      </c>
      <c r="J535" s="1">
        <v>137</v>
      </c>
      <c r="K535" s="1">
        <f t="shared" si="62"/>
        <v>8187394</v>
      </c>
      <c r="L535" s="1">
        <v>4</v>
      </c>
      <c r="M535" s="1">
        <f t="shared" si="60"/>
        <v>7948346</v>
      </c>
      <c r="N535" s="1">
        <f t="shared" si="61"/>
        <v>7830239</v>
      </c>
      <c r="O535" s="4">
        <f t="shared" si="57"/>
        <v>0.98514068209914363</v>
      </c>
      <c r="P535" s="4">
        <f t="shared" si="58"/>
        <v>3.007518796992481</v>
      </c>
      <c r="Q535" s="4">
        <f t="shared" si="59"/>
        <v>2.4427797172091629E-4</v>
      </c>
    </row>
    <row r="536" spans="1:17">
      <c r="A536" s="1" t="s">
        <v>193</v>
      </c>
      <c r="B536" s="1" t="s">
        <v>17</v>
      </c>
      <c r="C536" s="1" t="s">
        <v>15</v>
      </c>
      <c r="D536" s="1" t="s">
        <v>391</v>
      </c>
      <c r="E536" s="1">
        <v>23900</v>
      </c>
      <c r="F536" s="1">
        <v>358195</v>
      </c>
      <c r="G536" s="1">
        <f t="shared" si="56"/>
        <v>382095</v>
      </c>
      <c r="H536" s="1">
        <v>49334</v>
      </c>
      <c r="I536" s="1">
        <v>5</v>
      </c>
      <c r="J536" s="1">
        <v>86</v>
      </c>
      <c r="K536" s="1">
        <f t="shared" si="62"/>
        <v>4242724</v>
      </c>
      <c r="L536" s="1">
        <v>12</v>
      </c>
      <c r="M536" s="1">
        <f t="shared" si="60"/>
        <v>3650716</v>
      </c>
      <c r="N536" s="1">
        <f t="shared" si="61"/>
        <v>3268621</v>
      </c>
      <c r="O536" s="4">
        <f t="shared" si="57"/>
        <v>0.89533696951502117</v>
      </c>
      <c r="P536" s="4">
        <f t="shared" si="58"/>
        <v>16.216216216216218</v>
      </c>
      <c r="Q536" s="4">
        <f t="shared" si="59"/>
        <v>1.1784881599651543E-4</v>
      </c>
    </row>
    <row r="537" spans="1:17">
      <c r="A537" s="1" t="s">
        <v>194</v>
      </c>
      <c r="B537" s="1" t="s">
        <v>26</v>
      </c>
      <c r="C537" s="1" t="s">
        <v>18</v>
      </c>
      <c r="D537" s="1" t="s">
        <v>392</v>
      </c>
      <c r="E537" s="1">
        <v>35625</v>
      </c>
      <c r="F537" s="1">
        <v>142090</v>
      </c>
      <c r="G537" s="1">
        <f t="shared" si="56"/>
        <v>177715</v>
      </c>
      <c r="H537" s="1">
        <v>68516</v>
      </c>
      <c r="I537" s="1">
        <v>0</v>
      </c>
      <c r="J537" s="1">
        <v>20</v>
      </c>
      <c r="K537" s="1">
        <f t="shared" si="62"/>
        <v>1370320</v>
      </c>
      <c r="L537" s="1">
        <v>33</v>
      </c>
      <c r="M537" s="1">
        <f t="shared" si="60"/>
        <v>-890708</v>
      </c>
      <c r="N537" s="1">
        <f t="shared" si="61"/>
        <v>-1068423</v>
      </c>
      <c r="O537" s="4">
        <f t="shared" si="57"/>
        <v>-1.1995210551606139</v>
      </c>
      <c r="P537" s="4">
        <f t="shared" si="58"/>
        <v>-253.84615384615384</v>
      </c>
      <c r="Q537" s="4">
        <f t="shared" si="59"/>
        <v>0</v>
      </c>
    </row>
    <row r="538" spans="1:17">
      <c r="A538" s="1" t="s">
        <v>195</v>
      </c>
      <c r="B538" s="1" t="s">
        <v>20</v>
      </c>
      <c r="C538" s="1" t="s">
        <v>15</v>
      </c>
      <c r="D538" s="1" t="s">
        <v>391</v>
      </c>
      <c r="E538" s="1">
        <v>15575</v>
      </c>
      <c r="F538" s="1">
        <v>119609</v>
      </c>
      <c r="G538" s="1">
        <f t="shared" si="56"/>
        <v>135184</v>
      </c>
      <c r="H538" s="1">
        <v>38337</v>
      </c>
      <c r="I538" s="1">
        <v>15</v>
      </c>
      <c r="J538" s="1">
        <v>38</v>
      </c>
      <c r="K538" s="1">
        <f t="shared" si="62"/>
        <v>1456806</v>
      </c>
      <c r="L538" s="1">
        <v>18</v>
      </c>
      <c r="M538" s="1">
        <f t="shared" si="60"/>
        <v>766740</v>
      </c>
      <c r="N538" s="1">
        <f t="shared" si="61"/>
        <v>631556</v>
      </c>
      <c r="O538" s="4">
        <f t="shared" si="57"/>
        <v>0.82368990792185093</v>
      </c>
      <c r="P538" s="4">
        <f t="shared" si="58"/>
        <v>90</v>
      </c>
      <c r="Q538" s="4">
        <f t="shared" si="59"/>
        <v>1.0296497955115506E-3</v>
      </c>
    </row>
    <row r="539" spans="1:17">
      <c r="A539" s="1" t="s">
        <v>196</v>
      </c>
      <c r="B539" s="1" t="s">
        <v>26</v>
      </c>
      <c r="C539" s="1" t="s">
        <v>21</v>
      </c>
      <c r="D539" s="1" t="s">
        <v>392</v>
      </c>
      <c r="E539" s="1">
        <v>9920</v>
      </c>
      <c r="F539" s="1">
        <v>87046</v>
      </c>
      <c r="G539" s="1">
        <f t="shared" si="56"/>
        <v>96966</v>
      </c>
      <c r="H539" s="1">
        <v>49531</v>
      </c>
      <c r="I539" s="1">
        <v>15</v>
      </c>
      <c r="J539" s="1">
        <v>24</v>
      </c>
      <c r="K539" s="1">
        <f t="shared" si="62"/>
        <v>1188744</v>
      </c>
      <c r="L539" s="1">
        <v>40</v>
      </c>
      <c r="M539" s="1">
        <f t="shared" si="60"/>
        <v>-792496</v>
      </c>
      <c r="N539" s="1">
        <f t="shared" si="61"/>
        <v>-889462</v>
      </c>
      <c r="O539" s="4">
        <f t="shared" si="57"/>
        <v>-1.1223551916981285</v>
      </c>
      <c r="P539" s="4">
        <f t="shared" si="58"/>
        <v>-250</v>
      </c>
      <c r="Q539" s="4">
        <f t="shared" si="59"/>
        <v>1.2618360218852839E-3</v>
      </c>
    </row>
    <row r="540" spans="1:17">
      <c r="A540" s="1" t="s">
        <v>197</v>
      </c>
      <c r="B540" s="1" t="s">
        <v>26</v>
      </c>
      <c r="C540" s="1" t="s">
        <v>15</v>
      </c>
      <c r="D540" s="1" t="s">
        <v>392</v>
      </c>
      <c r="E540" s="1">
        <v>41102</v>
      </c>
      <c r="F540" s="1">
        <v>158172</v>
      </c>
      <c r="G540" s="1">
        <f t="shared" si="56"/>
        <v>199274</v>
      </c>
      <c r="H540" s="1">
        <v>77219</v>
      </c>
      <c r="I540" s="1">
        <v>0</v>
      </c>
      <c r="J540" s="1">
        <v>21</v>
      </c>
      <c r="K540" s="1">
        <f t="shared" si="62"/>
        <v>1621599</v>
      </c>
      <c r="L540" s="1">
        <v>13</v>
      </c>
      <c r="M540" s="1">
        <f t="shared" si="60"/>
        <v>617752</v>
      </c>
      <c r="N540" s="1">
        <f t="shared" si="61"/>
        <v>418478</v>
      </c>
      <c r="O540" s="4">
        <f t="shared" si="57"/>
        <v>0.67742071251893965</v>
      </c>
      <c r="P540" s="4">
        <f t="shared" si="58"/>
        <v>162.5</v>
      </c>
      <c r="Q540" s="4">
        <f t="shared" si="59"/>
        <v>0</v>
      </c>
    </row>
    <row r="541" spans="1:17">
      <c r="A541" s="1" t="s">
        <v>198</v>
      </c>
      <c r="B541" s="1" t="s">
        <v>17</v>
      </c>
      <c r="C541" s="1" t="s">
        <v>29</v>
      </c>
      <c r="D541" s="1" t="s">
        <v>391</v>
      </c>
      <c r="E541" s="1">
        <v>8115</v>
      </c>
      <c r="F541" s="1">
        <v>150664</v>
      </c>
      <c r="G541" s="1">
        <f t="shared" si="56"/>
        <v>158779</v>
      </c>
      <c r="H541" s="1">
        <v>83893</v>
      </c>
      <c r="I541" s="1">
        <v>20</v>
      </c>
      <c r="J541" s="1">
        <v>110</v>
      </c>
      <c r="K541" s="1">
        <f t="shared" si="62"/>
        <v>9228230</v>
      </c>
      <c r="L541" s="1">
        <v>14</v>
      </c>
      <c r="M541" s="1">
        <f t="shared" si="60"/>
        <v>8053728</v>
      </c>
      <c r="N541" s="1">
        <f t="shared" si="61"/>
        <v>7894949</v>
      </c>
      <c r="O541" s="4">
        <f t="shared" si="57"/>
        <v>0.98028503073359319</v>
      </c>
      <c r="P541" s="4">
        <f t="shared" si="58"/>
        <v>14.583333333333334</v>
      </c>
      <c r="Q541" s="4">
        <f t="shared" si="59"/>
        <v>2.1672628445541559E-4</v>
      </c>
    </row>
    <row r="542" spans="1:17">
      <c r="A542" s="1" t="s">
        <v>199</v>
      </c>
      <c r="B542" s="1" t="s">
        <v>14</v>
      </c>
      <c r="C542" s="1" t="s">
        <v>21</v>
      </c>
      <c r="D542" s="1" t="s">
        <v>392</v>
      </c>
      <c r="E542" s="1">
        <v>6904</v>
      </c>
      <c r="F542" s="1">
        <v>315989</v>
      </c>
      <c r="G542" s="1">
        <f t="shared" si="56"/>
        <v>322893</v>
      </c>
      <c r="H542" s="1">
        <v>46692</v>
      </c>
      <c r="I542" s="1">
        <v>15</v>
      </c>
      <c r="J542" s="1">
        <v>60</v>
      </c>
      <c r="K542" s="1">
        <f t="shared" si="62"/>
        <v>2801520</v>
      </c>
      <c r="L542" s="1">
        <v>3</v>
      </c>
      <c r="M542" s="1">
        <f t="shared" si="60"/>
        <v>2661444</v>
      </c>
      <c r="N542" s="1">
        <f t="shared" si="61"/>
        <v>2338551</v>
      </c>
      <c r="O542" s="4">
        <f t="shared" si="57"/>
        <v>0.87867751491295698</v>
      </c>
      <c r="P542" s="4">
        <f t="shared" si="58"/>
        <v>5.2631578947368416</v>
      </c>
      <c r="Q542" s="4">
        <f t="shared" si="59"/>
        <v>5.3542362717381997E-4</v>
      </c>
    </row>
    <row r="543" spans="1:17">
      <c r="A543" s="1" t="s">
        <v>200</v>
      </c>
      <c r="B543" s="1" t="s">
        <v>17</v>
      </c>
      <c r="C543" s="1" t="s">
        <v>18</v>
      </c>
      <c r="D543" s="1" t="s">
        <v>392</v>
      </c>
      <c r="E543" s="1">
        <v>43850</v>
      </c>
      <c r="F543" s="1">
        <v>303405</v>
      </c>
      <c r="G543" s="1">
        <f t="shared" si="56"/>
        <v>347255</v>
      </c>
      <c r="H543" s="1">
        <v>56958</v>
      </c>
      <c r="I543" s="1">
        <v>5</v>
      </c>
      <c r="J543" s="1">
        <v>108</v>
      </c>
      <c r="K543" s="1">
        <f t="shared" si="62"/>
        <v>6151464</v>
      </c>
      <c r="L543" s="1">
        <v>39</v>
      </c>
      <c r="M543" s="1">
        <f t="shared" si="60"/>
        <v>3930102</v>
      </c>
      <c r="N543" s="1">
        <f t="shared" si="61"/>
        <v>3582847</v>
      </c>
      <c r="O543" s="4">
        <f t="shared" si="57"/>
        <v>0.91164224236419311</v>
      </c>
      <c r="P543" s="4">
        <f t="shared" si="58"/>
        <v>56.521739130434781</v>
      </c>
      <c r="Q543" s="4">
        <f t="shared" si="59"/>
        <v>8.1281464054735593E-5</v>
      </c>
    </row>
    <row r="544" spans="1:17">
      <c r="A544" s="1" t="s">
        <v>201</v>
      </c>
      <c r="B544" s="1" t="s">
        <v>17</v>
      </c>
      <c r="C544" s="1" t="s">
        <v>15</v>
      </c>
      <c r="D544" s="1" t="s">
        <v>392</v>
      </c>
      <c r="E544" s="1">
        <v>25508</v>
      </c>
      <c r="F544" s="1">
        <v>340564</v>
      </c>
      <c r="G544" s="1">
        <f t="shared" si="56"/>
        <v>366072</v>
      </c>
      <c r="H544" s="1">
        <v>53999</v>
      </c>
      <c r="I544" s="1">
        <v>5</v>
      </c>
      <c r="J544" s="1">
        <v>69</v>
      </c>
      <c r="K544" s="1">
        <f t="shared" si="62"/>
        <v>3725931</v>
      </c>
      <c r="L544" s="1">
        <v>29</v>
      </c>
      <c r="M544" s="1">
        <f t="shared" si="60"/>
        <v>2159960</v>
      </c>
      <c r="N544" s="1">
        <f t="shared" si="61"/>
        <v>1793888</v>
      </c>
      <c r="O544" s="4">
        <f t="shared" si="57"/>
        <v>0.83051908368673499</v>
      </c>
      <c r="P544" s="4">
        <f t="shared" si="58"/>
        <v>72.5</v>
      </c>
      <c r="Q544" s="4">
        <f t="shared" si="59"/>
        <v>1.3419464826374937E-4</v>
      </c>
    </row>
    <row r="545" spans="1:17">
      <c r="A545" s="1" t="s">
        <v>202</v>
      </c>
      <c r="B545" s="1" t="s">
        <v>20</v>
      </c>
      <c r="C545" s="1" t="s">
        <v>29</v>
      </c>
      <c r="D545" s="1" t="s">
        <v>391</v>
      </c>
      <c r="E545" s="1">
        <v>18713</v>
      </c>
      <c r="F545" s="1">
        <v>270764</v>
      </c>
      <c r="G545" s="1">
        <f t="shared" si="56"/>
        <v>289477</v>
      </c>
      <c r="H545" s="1">
        <v>25456</v>
      </c>
      <c r="I545" s="1">
        <v>20</v>
      </c>
      <c r="J545" s="1">
        <v>63</v>
      </c>
      <c r="K545" s="1">
        <f t="shared" si="62"/>
        <v>1603728</v>
      </c>
      <c r="L545" s="1">
        <v>26</v>
      </c>
      <c r="M545" s="1">
        <f t="shared" si="60"/>
        <v>941872</v>
      </c>
      <c r="N545" s="1">
        <f t="shared" si="61"/>
        <v>652395</v>
      </c>
      <c r="O545" s="4">
        <f t="shared" si="57"/>
        <v>0.69265781337591514</v>
      </c>
      <c r="P545" s="4">
        <f t="shared" si="58"/>
        <v>70.270270270270274</v>
      </c>
      <c r="Q545" s="4">
        <f t="shared" si="59"/>
        <v>1.2470942703500844E-3</v>
      </c>
    </row>
    <row r="546" spans="1:17">
      <c r="A546" s="1" t="s">
        <v>203</v>
      </c>
      <c r="B546" s="1" t="s">
        <v>26</v>
      </c>
      <c r="C546" s="1" t="s">
        <v>31</v>
      </c>
      <c r="D546" s="1" t="s">
        <v>391</v>
      </c>
      <c r="E546" s="1">
        <v>48207</v>
      </c>
      <c r="F546" s="1">
        <v>398819</v>
      </c>
      <c r="G546" s="1">
        <f t="shared" si="56"/>
        <v>447026</v>
      </c>
      <c r="H546" s="1">
        <v>70370</v>
      </c>
      <c r="I546" s="1">
        <v>10</v>
      </c>
      <c r="J546" s="1">
        <v>28</v>
      </c>
      <c r="K546" s="1">
        <f t="shared" si="62"/>
        <v>1970360</v>
      </c>
      <c r="L546" s="1">
        <v>14</v>
      </c>
      <c r="M546" s="1">
        <f t="shared" si="60"/>
        <v>985180</v>
      </c>
      <c r="N546" s="1">
        <f t="shared" si="61"/>
        <v>538154</v>
      </c>
      <c r="O546" s="4">
        <f t="shared" si="57"/>
        <v>0.54624941635031166</v>
      </c>
      <c r="P546" s="4">
        <f t="shared" si="58"/>
        <v>100</v>
      </c>
      <c r="Q546" s="4">
        <f t="shared" si="59"/>
        <v>5.0752146815810314E-4</v>
      </c>
    </row>
    <row r="547" spans="1:17">
      <c r="A547" s="1" t="s">
        <v>204</v>
      </c>
      <c r="B547" s="1" t="s">
        <v>20</v>
      </c>
      <c r="C547" s="1" t="s">
        <v>21</v>
      </c>
      <c r="D547" s="1" t="s">
        <v>392</v>
      </c>
      <c r="E547" s="1">
        <v>8810</v>
      </c>
      <c r="F547" s="1">
        <v>157441</v>
      </c>
      <c r="G547" s="1">
        <f t="shared" si="56"/>
        <v>166251</v>
      </c>
      <c r="H547" s="1">
        <v>32509</v>
      </c>
      <c r="I547" s="1">
        <v>20</v>
      </c>
      <c r="J547" s="1">
        <v>63</v>
      </c>
      <c r="K547" s="1">
        <f t="shared" si="62"/>
        <v>2048067</v>
      </c>
      <c r="L547" s="1">
        <v>7</v>
      </c>
      <c r="M547" s="1">
        <f t="shared" si="60"/>
        <v>1820504</v>
      </c>
      <c r="N547" s="1">
        <f t="shared" si="61"/>
        <v>1654253</v>
      </c>
      <c r="O547" s="4">
        <f t="shared" si="57"/>
        <v>0.90867858571033078</v>
      </c>
      <c r="P547" s="4">
        <f t="shared" si="58"/>
        <v>12.5</v>
      </c>
      <c r="Q547" s="4">
        <f t="shared" si="59"/>
        <v>9.7653055295554309E-4</v>
      </c>
    </row>
    <row r="548" spans="1:17">
      <c r="A548" s="1" t="s">
        <v>205</v>
      </c>
      <c r="B548" s="1" t="s">
        <v>20</v>
      </c>
      <c r="C548" s="1" t="s">
        <v>31</v>
      </c>
      <c r="D548" s="1" t="s">
        <v>392</v>
      </c>
      <c r="E548" s="1">
        <v>22297</v>
      </c>
      <c r="F548" s="1">
        <v>257978</v>
      </c>
      <c r="G548" s="1">
        <f t="shared" si="56"/>
        <v>280275</v>
      </c>
      <c r="H548" s="1">
        <v>75938</v>
      </c>
      <c r="I548" s="1">
        <v>15</v>
      </c>
      <c r="J548" s="1">
        <v>135</v>
      </c>
      <c r="K548" s="1">
        <f t="shared" si="62"/>
        <v>10251630</v>
      </c>
      <c r="L548" s="1">
        <v>90</v>
      </c>
      <c r="M548" s="1">
        <f t="shared" si="60"/>
        <v>3417210</v>
      </c>
      <c r="N548" s="1">
        <f t="shared" si="61"/>
        <v>3136935</v>
      </c>
      <c r="O548" s="4">
        <f t="shared" si="57"/>
        <v>0.91798133565101359</v>
      </c>
      <c r="P548" s="4">
        <f t="shared" si="58"/>
        <v>200</v>
      </c>
      <c r="Q548" s="4">
        <f t="shared" si="59"/>
        <v>1.4631819525285248E-4</v>
      </c>
    </row>
    <row r="549" spans="1:17">
      <c r="A549" s="1" t="s">
        <v>206</v>
      </c>
      <c r="B549" s="1" t="s">
        <v>26</v>
      </c>
      <c r="C549" s="1" t="s">
        <v>29</v>
      </c>
      <c r="D549" s="1" t="s">
        <v>392</v>
      </c>
      <c r="E549" s="1">
        <v>20102</v>
      </c>
      <c r="F549" s="1">
        <v>244053</v>
      </c>
      <c r="G549" s="1">
        <f t="shared" si="56"/>
        <v>264155</v>
      </c>
      <c r="H549" s="1">
        <v>48351</v>
      </c>
      <c r="I549" s="1">
        <v>0</v>
      </c>
      <c r="J549" s="1">
        <v>31</v>
      </c>
      <c r="K549" s="1">
        <f t="shared" si="62"/>
        <v>1498881</v>
      </c>
      <c r="L549" s="1">
        <v>15</v>
      </c>
      <c r="M549" s="1">
        <f t="shared" si="60"/>
        <v>773616</v>
      </c>
      <c r="N549" s="1">
        <f t="shared" si="61"/>
        <v>509461</v>
      </c>
      <c r="O549" s="4">
        <f t="shared" si="57"/>
        <v>0.65854506628611609</v>
      </c>
      <c r="P549" s="4">
        <f t="shared" si="58"/>
        <v>93.75</v>
      </c>
      <c r="Q549" s="4">
        <f t="shared" si="59"/>
        <v>0</v>
      </c>
    </row>
    <row r="550" spans="1:17">
      <c r="A550" s="1" t="s">
        <v>207</v>
      </c>
      <c r="B550" s="1" t="s">
        <v>26</v>
      </c>
      <c r="C550" s="1" t="s">
        <v>15</v>
      </c>
      <c r="D550" s="1" t="s">
        <v>392</v>
      </c>
      <c r="E550" s="1">
        <v>31003</v>
      </c>
      <c r="F550" s="1">
        <v>236096</v>
      </c>
      <c r="G550" s="1">
        <f t="shared" si="56"/>
        <v>267099</v>
      </c>
      <c r="H550" s="1">
        <v>15050</v>
      </c>
      <c r="I550" s="1">
        <v>5</v>
      </c>
      <c r="J550" s="1">
        <v>14</v>
      </c>
      <c r="K550" s="1">
        <f t="shared" si="62"/>
        <v>210700</v>
      </c>
      <c r="L550" s="1">
        <v>19</v>
      </c>
      <c r="M550" s="1">
        <f t="shared" si="60"/>
        <v>-75250</v>
      </c>
      <c r="N550" s="1">
        <f t="shared" si="61"/>
        <v>-342349</v>
      </c>
      <c r="O550" s="4">
        <f t="shared" si="57"/>
        <v>-4.5494883720930233</v>
      </c>
      <c r="P550" s="4">
        <f t="shared" si="58"/>
        <v>-380</v>
      </c>
      <c r="Q550" s="4">
        <f t="shared" si="59"/>
        <v>2.3730422401518746E-3</v>
      </c>
    </row>
    <row r="551" spans="1:17">
      <c r="A551" s="1" t="s">
        <v>208</v>
      </c>
      <c r="B551" s="1" t="s">
        <v>14</v>
      </c>
      <c r="C551" s="1" t="s">
        <v>15</v>
      </c>
      <c r="D551" s="1" t="s">
        <v>391</v>
      </c>
      <c r="E551" s="1">
        <v>45339</v>
      </c>
      <c r="F551" s="1">
        <v>255681</v>
      </c>
      <c r="G551" s="1">
        <f t="shared" si="56"/>
        <v>301020</v>
      </c>
      <c r="H551" s="1">
        <v>53734</v>
      </c>
      <c r="I551" s="1">
        <v>20</v>
      </c>
      <c r="J551" s="1">
        <v>59</v>
      </c>
      <c r="K551" s="1">
        <f t="shared" si="62"/>
        <v>3170306</v>
      </c>
      <c r="L551" s="1">
        <v>30</v>
      </c>
      <c r="M551" s="1">
        <f t="shared" si="60"/>
        <v>1558286</v>
      </c>
      <c r="N551" s="1">
        <f t="shared" si="61"/>
        <v>1257266</v>
      </c>
      <c r="O551" s="4">
        <f t="shared" si="57"/>
        <v>0.80682621803699706</v>
      </c>
      <c r="P551" s="4">
        <f t="shared" si="58"/>
        <v>103.44827586206897</v>
      </c>
      <c r="Q551" s="4">
        <f t="shared" si="59"/>
        <v>6.3085393018844234E-4</v>
      </c>
    </row>
    <row r="552" spans="1:17">
      <c r="A552" s="1" t="s">
        <v>209</v>
      </c>
      <c r="B552" s="1" t="s">
        <v>20</v>
      </c>
      <c r="C552" s="1" t="s">
        <v>18</v>
      </c>
      <c r="D552" s="1" t="s">
        <v>391</v>
      </c>
      <c r="E552" s="1">
        <v>10411</v>
      </c>
      <c r="F552" s="1">
        <v>136745</v>
      </c>
      <c r="G552" s="1">
        <f t="shared" si="56"/>
        <v>147156</v>
      </c>
      <c r="H552" s="1">
        <v>61153</v>
      </c>
      <c r="I552" s="1">
        <v>20</v>
      </c>
      <c r="J552" s="1">
        <v>112</v>
      </c>
      <c r="K552" s="1">
        <f t="shared" si="62"/>
        <v>6849136</v>
      </c>
      <c r="L552" s="1">
        <v>32</v>
      </c>
      <c r="M552" s="1">
        <f t="shared" si="60"/>
        <v>4892240</v>
      </c>
      <c r="N552" s="1">
        <f t="shared" si="61"/>
        <v>4745084</v>
      </c>
      <c r="O552" s="4">
        <f t="shared" si="57"/>
        <v>0.96992052720226318</v>
      </c>
      <c r="P552" s="4">
        <f t="shared" si="58"/>
        <v>40</v>
      </c>
      <c r="Q552" s="4">
        <f t="shared" si="59"/>
        <v>2.9200763424758978E-4</v>
      </c>
    </row>
    <row r="553" spans="1:17">
      <c r="A553" s="1" t="s">
        <v>210</v>
      </c>
      <c r="B553" s="1" t="s">
        <v>26</v>
      </c>
      <c r="C553" s="1" t="s">
        <v>29</v>
      </c>
      <c r="D553" s="1" t="s">
        <v>392</v>
      </c>
      <c r="E553" s="1">
        <v>8152</v>
      </c>
      <c r="F553" s="1">
        <v>235643</v>
      </c>
      <c r="G553" s="1">
        <f t="shared" si="56"/>
        <v>243795</v>
      </c>
      <c r="H553" s="1">
        <v>54599</v>
      </c>
      <c r="I553" s="1">
        <v>5</v>
      </c>
      <c r="J553" s="1">
        <v>90</v>
      </c>
      <c r="K553" s="1">
        <f t="shared" si="62"/>
        <v>4913910</v>
      </c>
      <c r="L553" s="1">
        <v>35</v>
      </c>
      <c r="M553" s="1">
        <f t="shared" si="60"/>
        <v>3002945</v>
      </c>
      <c r="N553" s="1">
        <f t="shared" si="61"/>
        <v>2759150</v>
      </c>
      <c r="O553" s="4">
        <f t="shared" si="57"/>
        <v>0.9188146969058707</v>
      </c>
      <c r="P553" s="4">
        <f t="shared" si="58"/>
        <v>63.636363636363633</v>
      </c>
      <c r="Q553" s="4">
        <f t="shared" si="59"/>
        <v>1.0175196533921054E-4</v>
      </c>
    </row>
    <row r="554" spans="1:17">
      <c r="A554" s="1" t="s">
        <v>211</v>
      </c>
      <c r="B554" s="1" t="s">
        <v>17</v>
      </c>
      <c r="C554" s="1" t="s">
        <v>21</v>
      </c>
      <c r="D554" s="1" t="s">
        <v>391</v>
      </c>
      <c r="E554" s="1">
        <v>44773</v>
      </c>
      <c r="F554" s="1">
        <v>101579</v>
      </c>
      <c r="G554" s="1">
        <f t="shared" si="56"/>
        <v>146352</v>
      </c>
      <c r="H554" s="1">
        <v>52454</v>
      </c>
      <c r="I554" s="1">
        <v>15</v>
      </c>
      <c r="J554" s="1">
        <v>132</v>
      </c>
      <c r="K554" s="1">
        <f t="shared" si="62"/>
        <v>6923928</v>
      </c>
      <c r="L554" s="1">
        <v>11</v>
      </c>
      <c r="M554" s="1">
        <f t="shared" si="60"/>
        <v>6346934</v>
      </c>
      <c r="N554" s="1">
        <f t="shared" si="61"/>
        <v>6200582</v>
      </c>
      <c r="O554" s="4">
        <f t="shared" si="57"/>
        <v>0.97694130740921525</v>
      </c>
      <c r="P554" s="4">
        <f t="shared" si="58"/>
        <v>9.0909090909090917</v>
      </c>
      <c r="Q554" s="4">
        <f t="shared" si="59"/>
        <v>2.1664003438510624E-4</v>
      </c>
    </row>
    <row r="555" spans="1:17">
      <c r="A555" s="1" t="s">
        <v>212</v>
      </c>
      <c r="B555" s="1" t="s">
        <v>14</v>
      </c>
      <c r="C555" s="1" t="s">
        <v>29</v>
      </c>
      <c r="D555" s="1" t="s">
        <v>392</v>
      </c>
      <c r="E555" s="1">
        <v>26960</v>
      </c>
      <c r="F555" s="1">
        <v>275514</v>
      </c>
      <c r="G555" s="1">
        <f t="shared" si="56"/>
        <v>302474</v>
      </c>
      <c r="H555" s="1">
        <v>32234</v>
      </c>
      <c r="I555" s="1">
        <v>5</v>
      </c>
      <c r="J555" s="1">
        <v>82</v>
      </c>
      <c r="K555" s="1">
        <f t="shared" si="62"/>
        <v>2643188</v>
      </c>
      <c r="L555" s="1">
        <v>28</v>
      </c>
      <c r="M555" s="1">
        <f t="shared" si="60"/>
        <v>1740636</v>
      </c>
      <c r="N555" s="1">
        <f t="shared" si="61"/>
        <v>1438162</v>
      </c>
      <c r="O555" s="4">
        <f t="shared" si="57"/>
        <v>0.82622788452037077</v>
      </c>
      <c r="P555" s="4">
        <f t="shared" si="58"/>
        <v>51.851851851851848</v>
      </c>
      <c r="Q555" s="4">
        <f t="shared" si="59"/>
        <v>1.8916550771265608E-4</v>
      </c>
    </row>
    <row r="556" spans="1:17">
      <c r="A556" s="1" t="s">
        <v>213</v>
      </c>
      <c r="B556" s="1" t="s">
        <v>20</v>
      </c>
      <c r="C556" s="1" t="s">
        <v>29</v>
      </c>
      <c r="D556" s="1" t="s">
        <v>392</v>
      </c>
      <c r="E556" s="1">
        <v>10609</v>
      </c>
      <c r="F556" s="1">
        <v>106037</v>
      </c>
      <c r="G556" s="1">
        <f t="shared" si="56"/>
        <v>116646</v>
      </c>
      <c r="H556" s="1">
        <v>20689</v>
      </c>
      <c r="I556" s="1">
        <v>15</v>
      </c>
      <c r="J556" s="1">
        <v>23</v>
      </c>
      <c r="K556" s="1">
        <f t="shared" si="62"/>
        <v>475847</v>
      </c>
      <c r="L556" s="1">
        <v>11</v>
      </c>
      <c r="M556" s="1">
        <f t="shared" si="60"/>
        <v>248268</v>
      </c>
      <c r="N556" s="1">
        <f t="shared" si="61"/>
        <v>131622</v>
      </c>
      <c r="O556" s="4">
        <f t="shared" si="57"/>
        <v>0.53016095509691141</v>
      </c>
      <c r="P556" s="4">
        <f t="shared" si="58"/>
        <v>91.666666666666657</v>
      </c>
      <c r="Q556" s="4">
        <f t="shared" si="59"/>
        <v>3.1522737350450879E-3</v>
      </c>
    </row>
    <row r="557" spans="1:17">
      <c r="A557" s="1" t="s">
        <v>214</v>
      </c>
      <c r="B557" s="1" t="s">
        <v>26</v>
      </c>
      <c r="C557" s="1" t="s">
        <v>29</v>
      </c>
      <c r="D557" s="1" t="s">
        <v>392</v>
      </c>
      <c r="E557" s="1">
        <v>27968</v>
      </c>
      <c r="F557" s="1">
        <v>175178</v>
      </c>
      <c r="G557" s="1">
        <f t="shared" si="56"/>
        <v>203146</v>
      </c>
      <c r="H557" s="1">
        <v>21177</v>
      </c>
      <c r="I557" s="1">
        <v>5</v>
      </c>
      <c r="J557" s="1">
        <v>84</v>
      </c>
      <c r="K557" s="1">
        <f t="shared" si="62"/>
        <v>1778868</v>
      </c>
      <c r="L557" s="1">
        <v>29</v>
      </c>
      <c r="M557" s="1">
        <f t="shared" si="60"/>
        <v>1164735</v>
      </c>
      <c r="N557" s="1">
        <f t="shared" si="61"/>
        <v>961589</v>
      </c>
      <c r="O557" s="4">
        <f t="shared" si="57"/>
        <v>0.82558607751977919</v>
      </c>
      <c r="P557" s="4">
        <f t="shared" si="58"/>
        <v>52.72727272727272</v>
      </c>
      <c r="Q557" s="4">
        <f t="shared" si="59"/>
        <v>2.8107762914392751E-4</v>
      </c>
    </row>
    <row r="558" spans="1:17">
      <c r="A558" s="1" t="s">
        <v>215</v>
      </c>
      <c r="B558" s="1" t="s">
        <v>26</v>
      </c>
      <c r="C558" s="1" t="s">
        <v>29</v>
      </c>
      <c r="D558" s="1" t="s">
        <v>392</v>
      </c>
      <c r="E558" s="1">
        <v>43808</v>
      </c>
      <c r="F558" s="1">
        <v>190642</v>
      </c>
      <c r="G558" s="1">
        <f t="shared" si="56"/>
        <v>234450</v>
      </c>
      <c r="H558" s="1">
        <v>37704</v>
      </c>
      <c r="I558" s="1">
        <v>10</v>
      </c>
      <c r="J558" s="1">
        <v>80</v>
      </c>
      <c r="K558" s="1">
        <f t="shared" si="62"/>
        <v>3016320</v>
      </c>
      <c r="L558" s="1">
        <v>3</v>
      </c>
      <c r="M558" s="1">
        <f t="shared" si="60"/>
        <v>2903208</v>
      </c>
      <c r="N558" s="1">
        <f t="shared" si="61"/>
        <v>2668758</v>
      </c>
      <c r="O558" s="4">
        <f t="shared" si="57"/>
        <v>0.91924450469962882</v>
      </c>
      <c r="P558" s="4">
        <f t="shared" si="58"/>
        <v>3.8961038961038961</v>
      </c>
      <c r="Q558" s="4">
        <f t="shared" si="59"/>
        <v>3.3152981116061953E-4</v>
      </c>
    </row>
    <row r="559" spans="1:17">
      <c r="A559" s="1" t="s">
        <v>216</v>
      </c>
      <c r="B559" s="1" t="s">
        <v>17</v>
      </c>
      <c r="C559" s="1" t="s">
        <v>18</v>
      </c>
      <c r="D559" s="1" t="s">
        <v>391</v>
      </c>
      <c r="E559" s="1">
        <v>25078</v>
      </c>
      <c r="F559" s="1">
        <v>182259</v>
      </c>
      <c r="G559" s="1">
        <f t="shared" si="56"/>
        <v>207337</v>
      </c>
      <c r="H559" s="1">
        <v>55757</v>
      </c>
      <c r="I559" s="1">
        <v>10</v>
      </c>
      <c r="J559" s="1">
        <v>129</v>
      </c>
      <c r="K559" s="1">
        <f t="shared" si="62"/>
        <v>7192653</v>
      </c>
      <c r="L559" s="1">
        <v>26</v>
      </c>
      <c r="M559" s="1">
        <f t="shared" si="60"/>
        <v>5742971</v>
      </c>
      <c r="N559" s="1">
        <f t="shared" si="61"/>
        <v>5535634</v>
      </c>
      <c r="O559" s="4">
        <f t="shared" si="57"/>
        <v>0.963897258056849</v>
      </c>
      <c r="P559" s="4">
        <f t="shared" si="58"/>
        <v>25.242718446601941</v>
      </c>
      <c r="Q559" s="4">
        <f t="shared" si="59"/>
        <v>1.3903075819172704E-4</v>
      </c>
    </row>
    <row r="560" spans="1:17">
      <c r="A560" s="1" t="s">
        <v>217</v>
      </c>
      <c r="B560" s="1" t="s">
        <v>17</v>
      </c>
      <c r="C560" s="1" t="s">
        <v>15</v>
      </c>
      <c r="D560" s="1" t="s">
        <v>392</v>
      </c>
      <c r="E560" s="1">
        <v>29545</v>
      </c>
      <c r="F560" s="1">
        <v>106098</v>
      </c>
      <c r="G560" s="1">
        <f t="shared" si="56"/>
        <v>135643</v>
      </c>
      <c r="H560" s="1">
        <v>63926</v>
      </c>
      <c r="I560" s="1">
        <v>15</v>
      </c>
      <c r="J560" s="1">
        <v>66</v>
      </c>
      <c r="K560" s="1">
        <f t="shared" si="62"/>
        <v>4219116</v>
      </c>
      <c r="L560" s="1">
        <v>1</v>
      </c>
      <c r="M560" s="1">
        <f t="shared" si="60"/>
        <v>4155190</v>
      </c>
      <c r="N560" s="1">
        <f t="shared" si="61"/>
        <v>4019547</v>
      </c>
      <c r="O560" s="4">
        <f t="shared" si="57"/>
        <v>0.96735576471834017</v>
      </c>
      <c r="P560" s="4">
        <f t="shared" si="58"/>
        <v>1.5384615384615385</v>
      </c>
      <c r="Q560" s="4">
        <f t="shared" si="59"/>
        <v>3.555247118116686E-4</v>
      </c>
    </row>
    <row r="561" spans="1:17">
      <c r="A561" s="1" t="s">
        <v>218</v>
      </c>
      <c r="B561" s="1" t="s">
        <v>26</v>
      </c>
      <c r="C561" s="1" t="s">
        <v>29</v>
      </c>
      <c r="D561" s="1" t="s">
        <v>392</v>
      </c>
      <c r="E561" s="1">
        <v>36401</v>
      </c>
      <c r="F561" s="1">
        <v>97541</v>
      </c>
      <c r="G561" s="1">
        <f t="shared" si="56"/>
        <v>133942</v>
      </c>
      <c r="H561" s="1">
        <v>69199</v>
      </c>
      <c r="I561" s="1">
        <v>10</v>
      </c>
      <c r="J561" s="1">
        <v>35</v>
      </c>
      <c r="K561" s="1">
        <f t="shared" si="62"/>
        <v>2421965</v>
      </c>
      <c r="L561" s="1">
        <v>17</v>
      </c>
      <c r="M561" s="1">
        <f t="shared" si="60"/>
        <v>1245582</v>
      </c>
      <c r="N561" s="1">
        <f t="shared" si="61"/>
        <v>1111640</v>
      </c>
      <c r="O561" s="4">
        <f t="shared" si="57"/>
        <v>0.89246633300738132</v>
      </c>
      <c r="P561" s="4">
        <f t="shared" si="58"/>
        <v>94.444444444444443</v>
      </c>
      <c r="Q561" s="4">
        <f t="shared" si="59"/>
        <v>4.1288788235998452E-4</v>
      </c>
    </row>
    <row r="562" spans="1:17">
      <c r="A562" s="1" t="s">
        <v>219</v>
      </c>
      <c r="B562" s="1" t="s">
        <v>390</v>
      </c>
      <c r="C562" s="1" t="s">
        <v>29</v>
      </c>
      <c r="D562" s="1" t="s">
        <v>391</v>
      </c>
      <c r="E562" s="1">
        <v>35337</v>
      </c>
      <c r="F562" s="1">
        <v>91170</v>
      </c>
      <c r="G562" s="1">
        <f t="shared" si="56"/>
        <v>126507</v>
      </c>
      <c r="H562" s="1">
        <v>33983</v>
      </c>
      <c r="I562" s="1">
        <v>10</v>
      </c>
      <c r="J562" s="1">
        <v>22</v>
      </c>
      <c r="K562" s="1">
        <f t="shared" si="62"/>
        <v>747626</v>
      </c>
      <c r="L562" s="1">
        <v>13</v>
      </c>
      <c r="M562" s="1">
        <f t="shared" si="60"/>
        <v>305847</v>
      </c>
      <c r="N562" s="1">
        <f t="shared" si="61"/>
        <v>179340</v>
      </c>
      <c r="O562" s="4">
        <f t="shared" si="57"/>
        <v>0.58637161718113961</v>
      </c>
      <c r="P562" s="4">
        <f t="shared" si="58"/>
        <v>144.44444444444443</v>
      </c>
      <c r="Q562" s="4">
        <f t="shared" si="59"/>
        <v>1.337567179311581E-3</v>
      </c>
    </row>
    <row r="563" spans="1:17">
      <c r="A563" s="1" t="s">
        <v>220</v>
      </c>
      <c r="B563" s="1" t="s">
        <v>17</v>
      </c>
      <c r="C563" s="1" t="s">
        <v>18</v>
      </c>
      <c r="D563" s="1" t="s">
        <v>392</v>
      </c>
      <c r="E563" s="1">
        <v>30890</v>
      </c>
      <c r="F563" s="1">
        <v>215605</v>
      </c>
      <c r="G563" s="1">
        <f t="shared" si="56"/>
        <v>246495</v>
      </c>
      <c r="H563" s="1">
        <v>40618</v>
      </c>
      <c r="I563" s="1">
        <v>0</v>
      </c>
      <c r="J563" s="1">
        <v>16</v>
      </c>
      <c r="K563" s="1">
        <f t="shared" si="62"/>
        <v>649888</v>
      </c>
      <c r="L563" s="1">
        <v>34</v>
      </c>
      <c r="M563" s="1">
        <f t="shared" si="60"/>
        <v>-731124</v>
      </c>
      <c r="N563" s="1">
        <f t="shared" si="61"/>
        <v>-977619</v>
      </c>
      <c r="O563" s="4">
        <f t="shared" si="57"/>
        <v>-1.3371452722110067</v>
      </c>
      <c r="P563" s="4">
        <f t="shared" si="58"/>
        <v>-188.88888888888889</v>
      </c>
      <c r="Q563" s="4">
        <f t="shared" si="59"/>
        <v>0</v>
      </c>
    </row>
    <row r="564" spans="1:17">
      <c r="A564" s="1" t="s">
        <v>221</v>
      </c>
      <c r="B564" s="1" t="s">
        <v>20</v>
      </c>
      <c r="C564" s="1" t="s">
        <v>18</v>
      </c>
      <c r="D564" s="1" t="s">
        <v>392</v>
      </c>
      <c r="E564" s="1">
        <v>25960</v>
      </c>
      <c r="F564" s="1">
        <v>205161</v>
      </c>
      <c r="G564" s="1">
        <f t="shared" si="56"/>
        <v>231121</v>
      </c>
      <c r="H564" s="1">
        <v>26107</v>
      </c>
      <c r="I564" s="1">
        <v>10</v>
      </c>
      <c r="J564" s="1">
        <v>139</v>
      </c>
      <c r="K564" s="1">
        <f t="shared" si="62"/>
        <v>3628873</v>
      </c>
      <c r="L564" s="1">
        <v>8</v>
      </c>
      <c r="M564" s="1">
        <f t="shared" si="60"/>
        <v>3420017</v>
      </c>
      <c r="N564" s="1">
        <f t="shared" si="61"/>
        <v>3188896</v>
      </c>
      <c r="O564" s="4">
        <f t="shared" si="57"/>
        <v>0.93242109615244606</v>
      </c>
      <c r="P564" s="4">
        <f t="shared" si="58"/>
        <v>6.1068702290076331</v>
      </c>
      <c r="Q564" s="4">
        <f t="shared" si="59"/>
        <v>2.7556764868872513E-4</v>
      </c>
    </row>
    <row r="565" spans="1:17">
      <c r="A565" s="1" t="s">
        <v>222</v>
      </c>
      <c r="B565" s="1" t="s">
        <v>17</v>
      </c>
      <c r="C565" s="1" t="s">
        <v>29</v>
      </c>
      <c r="D565" s="1" t="s">
        <v>392</v>
      </c>
      <c r="E565" s="1">
        <v>44851</v>
      </c>
      <c r="F565" s="1">
        <v>237341</v>
      </c>
      <c r="G565" s="1">
        <f t="shared" si="56"/>
        <v>282192</v>
      </c>
      <c r="H565" s="1">
        <v>24132</v>
      </c>
      <c r="I565" s="1">
        <v>0</v>
      </c>
      <c r="J565" s="1">
        <v>103</v>
      </c>
      <c r="K565" s="1">
        <f t="shared" si="62"/>
        <v>2485596</v>
      </c>
      <c r="L565" s="1">
        <v>19</v>
      </c>
      <c r="M565" s="1">
        <f t="shared" si="60"/>
        <v>2027088</v>
      </c>
      <c r="N565" s="1">
        <f t="shared" si="61"/>
        <v>1744896</v>
      </c>
      <c r="O565" s="4">
        <f t="shared" si="57"/>
        <v>0.86078946745281903</v>
      </c>
      <c r="P565" s="4">
        <f t="shared" si="58"/>
        <v>22.61904761904762</v>
      </c>
      <c r="Q565" s="4">
        <f t="shared" si="59"/>
        <v>0</v>
      </c>
    </row>
    <row r="566" spans="1:17">
      <c r="A566" s="1" t="s">
        <v>223</v>
      </c>
      <c r="B566" s="1" t="s">
        <v>14</v>
      </c>
      <c r="C566" s="1" t="s">
        <v>15</v>
      </c>
      <c r="D566" s="1" t="s">
        <v>391</v>
      </c>
      <c r="E566" s="1">
        <v>10520</v>
      </c>
      <c r="F566" s="1">
        <v>176996</v>
      </c>
      <c r="G566" s="1">
        <f t="shared" si="56"/>
        <v>187516</v>
      </c>
      <c r="H566" s="1">
        <v>43090</v>
      </c>
      <c r="I566" s="1">
        <v>15</v>
      </c>
      <c r="J566" s="1">
        <v>59</v>
      </c>
      <c r="K566" s="1">
        <f t="shared" si="62"/>
        <v>2542310</v>
      </c>
      <c r="L566" s="1">
        <v>78</v>
      </c>
      <c r="M566" s="1">
        <f t="shared" si="60"/>
        <v>-818710</v>
      </c>
      <c r="N566" s="1">
        <f t="shared" si="61"/>
        <v>-1006226</v>
      </c>
      <c r="O566" s="4">
        <f t="shared" si="57"/>
        <v>-1.2290383652331107</v>
      </c>
      <c r="P566" s="4">
        <f t="shared" si="58"/>
        <v>-410.5263157894737</v>
      </c>
      <c r="Q566" s="4">
        <f t="shared" si="59"/>
        <v>5.9001459302760091E-4</v>
      </c>
    </row>
    <row r="567" spans="1:17">
      <c r="A567" s="1" t="s">
        <v>224</v>
      </c>
      <c r="B567" s="1" t="s">
        <v>26</v>
      </c>
      <c r="C567" s="1" t="s">
        <v>21</v>
      </c>
      <c r="D567" s="1" t="s">
        <v>392</v>
      </c>
      <c r="E567" s="1">
        <v>9914</v>
      </c>
      <c r="F567" s="1">
        <v>201122</v>
      </c>
      <c r="G567" s="1">
        <f t="shared" si="56"/>
        <v>211036</v>
      </c>
      <c r="H567" s="1">
        <v>68709</v>
      </c>
      <c r="I567" s="1">
        <v>0</v>
      </c>
      <c r="J567" s="1">
        <v>123</v>
      </c>
      <c r="K567" s="1">
        <f t="shared" si="62"/>
        <v>8451207</v>
      </c>
      <c r="L567" s="1">
        <v>13</v>
      </c>
      <c r="M567" s="1">
        <f t="shared" si="60"/>
        <v>7557990</v>
      </c>
      <c r="N567" s="1">
        <f t="shared" si="61"/>
        <v>7346954</v>
      </c>
      <c r="O567" s="4">
        <f t="shared" si="57"/>
        <v>0.97207776141540281</v>
      </c>
      <c r="P567" s="4">
        <f t="shared" si="58"/>
        <v>11.818181818181818</v>
      </c>
      <c r="Q567" s="4">
        <f t="shared" si="59"/>
        <v>0</v>
      </c>
    </row>
    <row r="568" spans="1:17">
      <c r="A568" s="1" t="s">
        <v>225</v>
      </c>
      <c r="B568" s="1" t="s">
        <v>26</v>
      </c>
      <c r="C568" s="1" t="s">
        <v>21</v>
      </c>
      <c r="D568" s="1" t="s">
        <v>392</v>
      </c>
      <c r="E568" s="1">
        <v>20723</v>
      </c>
      <c r="F568" s="1">
        <v>149710</v>
      </c>
      <c r="G568" s="1">
        <f t="shared" si="56"/>
        <v>170433</v>
      </c>
      <c r="H568" s="1">
        <v>33215</v>
      </c>
      <c r="I568" s="1">
        <v>10</v>
      </c>
      <c r="J568" s="1">
        <v>11</v>
      </c>
      <c r="K568" s="1">
        <f t="shared" si="62"/>
        <v>365365</v>
      </c>
      <c r="L568" s="1">
        <v>32</v>
      </c>
      <c r="M568" s="1">
        <f t="shared" si="60"/>
        <v>-697515</v>
      </c>
      <c r="N568" s="1">
        <f t="shared" si="61"/>
        <v>-867948</v>
      </c>
      <c r="O568" s="4">
        <f t="shared" si="57"/>
        <v>-1.2443431324057548</v>
      </c>
      <c r="P568" s="4">
        <f t="shared" si="58"/>
        <v>-152.38095238095238</v>
      </c>
      <c r="Q568" s="4">
        <f t="shared" si="59"/>
        <v>2.7369890383589016E-3</v>
      </c>
    </row>
    <row r="569" spans="1:17">
      <c r="A569" s="1" t="s">
        <v>226</v>
      </c>
      <c r="B569" s="1" t="s">
        <v>26</v>
      </c>
      <c r="C569" s="1" t="s">
        <v>21</v>
      </c>
      <c r="D569" s="1" t="s">
        <v>391</v>
      </c>
      <c r="E569" s="1">
        <v>5230</v>
      </c>
      <c r="F569" s="1">
        <v>362630</v>
      </c>
      <c r="G569" s="1">
        <f t="shared" si="56"/>
        <v>367860</v>
      </c>
      <c r="H569" s="1">
        <v>13367</v>
      </c>
      <c r="I569" s="1">
        <v>15</v>
      </c>
      <c r="J569" s="1">
        <v>74</v>
      </c>
      <c r="K569" s="1">
        <f t="shared" si="62"/>
        <v>989158</v>
      </c>
      <c r="L569" s="1">
        <v>36</v>
      </c>
      <c r="M569" s="1">
        <f t="shared" si="60"/>
        <v>507946</v>
      </c>
      <c r="N569" s="1">
        <f t="shared" si="61"/>
        <v>140086</v>
      </c>
      <c r="O569" s="4">
        <f t="shared" si="57"/>
        <v>0.27578915869009696</v>
      </c>
      <c r="P569" s="4">
        <f t="shared" si="58"/>
        <v>94.73684210526315</v>
      </c>
      <c r="Q569" s="4">
        <f t="shared" si="59"/>
        <v>1.5164412560986211E-3</v>
      </c>
    </row>
    <row r="570" spans="1:17">
      <c r="A570" s="1" t="s">
        <v>227</v>
      </c>
      <c r="B570" s="1" t="s">
        <v>17</v>
      </c>
      <c r="C570" s="1" t="s">
        <v>21</v>
      </c>
      <c r="D570" s="1" t="s">
        <v>392</v>
      </c>
      <c r="E570" s="1">
        <v>40254</v>
      </c>
      <c r="F570" s="1">
        <v>61716</v>
      </c>
      <c r="G570" s="1">
        <f t="shared" si="56"/>
        <v>101970</v>
      </c>
      <c r="H570" s="1">
        <v>67552</v>
      </c>
      <c r="I570" s="1">
        <v>0</v>
      </c>
      <c r="J570" s="1">
        <v>135</v>
      </c>
      <c r="K570" s="1">
        <f t="shared" si="62"/>
        <v>9119520</v>
      </c>
      <c r="L570" s="1">
        <v>38</v>
      </c>
      <c r="M570" s="1">
        <f t="shared" si="60"/>
        <v>6552544</v>
      </c>
      <c r="N570" s="1">
        <f t="shared" si="61"/>
        <v>6450574</v>
      </c>
      <c r="O570" s="4">
        <f t="shared" si="57"/>
        <v>0.98443810526110165</v>
      </c>
      <c r="P570" s="4">
        <f t="shared" si="58"/>
        <v>39.175257731958766</v>
      </c>
      <c r="Q570" s="4">
        <f t="shared" si="59"/>
        <v>0</v>
      </c>
    </row>
    <row r="571" spans="1:17">
      <c r="A571" s="1" t="s">
        <v>228</v>
      </c>
      <c r="B571" s="1" t="s">
        <v>20</v>
      </c>
      <c r="C571" s="1" t="s">
        <v>21</v>
      </c>
      <c r="D571" s="1" t="s">
        <v>392</v>
      </c>
      <c r="E571" s="1">
        <v>30798</v>
      </c>
      <c r="F571" s="1">
        <v>399895</v>
      </c>
      <c r="G571" s="1">
        <f t="shared" si="56"/>
        <v>430693</v>
      </c>
      <c r="H571" s="1">
        <v>65082</v>
      </c>
      <c r="I571" s="1">
        <v>20</v>
      </c>
      <c r="J571" s="1">
        <v>51</v>
      </c>
      <c r="K571" s="1">
        <f t="shared" si="62"/>
        <v>3319182</v>
      </c>
      <c r="L571" s="1">
        <v>27</v>
      </c>
      <c r="M571" s="1">
        <f t="shared" si="60"/>
        <v>1561968</v>
      </c>
      <c r="N571" s="1">
        <f t="shared" si="61"/>
        <v>1131275</v>
      </c>
      <c r="O571" s="4">
        <f t="shared" si="57"/>
        <v>0.72426259692900241</v>
      </c>
      <c r="P571" s="4">
        <f t="shared" si="58"/>
        <v>112.5</v>
      </c>
      <c r="Q571" s="4">
        <f t="shared" si="59"/>
        <v>6.0255810015841249E-4</v>
      </c>
    </row>
    <row r="572" spans="1:17">
      <c r="A572" s="1" t="s">
        <v>229</v>
      </c>
      <c r="B572" s="1" t="s">
        <v>26</v>
      </c>
      <c r="C572" s="1" t="s">
        <v>21</v>
      </c>
      <c r="D572" s="1" t="s">
        <v>392</v>
      </c>
      <c r="E572" s="1">
        <v>43956</v>
      </c>
      <c r="F572" s="1">
        <v>352939</v>
      </c>
      <c r="G572" s="1">
        <f t="shared" si="56"/>
        <v>396895</v>
      </c>
      <c r="H572" s="1">
        <v>42645</v>
      </c>
      <c r="I572" s="1">
        <v>15</v>
      </c>
      <c r="J572" s="1">
        <v>147</v>
      </c>
      <c r="K572" s="1">
        <f t="shared" si="62"/>
        <v>6268815</v>
      </c>
      <c r="L572" s="1">
        <v>3</v>
      </c>
      <c r="M572" s="1">
        <f t="shared" si="60"/>
        <v>6140880</v>
      </c>
      <c r="N572" s="1">
        <f t="shared" si="61"/>
        <v>5743985</v>
      </c>
      <c r="O572" s="4">
        <f t="shared" si="57"/>
        <v>0.9353683836844231</v>
      </c>
      <c r="P572" s="4">
        <f t="shared" si="58"/>
        <v>2.083333333333333</v>
      </c>
      <c r="Q572" s="4">
        <f t="shared" si="59"/>
        <v>2.3927967247398433E-4</v>
      </c>
    </row>
    <row r="573" spans="1:17">
      <c r="A573" s="1" t="s">
        <v>230</v>
      </c>
      <c r="B573" s="1" t="s">
        <v>17</v>
      </c>
      <c r="C573" s="1" t="s">
        <v>21</v>
      </c>
      <c r="D573" s="1" t="s">
        <v>391</v>
      </c>
      <c r="E573" s="1">
        <v>6976</v>
      </c>
      <c r="F573" s="1">
        <v>115946</v>
      </c>
      <c r="G573" s="1">
        <f t="shared" si="56"/>
        <v>122922</v>
      </c>
      <c r="H573" s="1">
        <v>65439</v>
      </c>
      <c r="I573" s="1">
        <v>15</v>
      </c>
      <c r="J573" s="1">
        <v>35</v>
      </c>
      <c r="K573" s="1">
        <f t="shared" si="62"/>
        <v>2290365</v>
      </c>
      <c r="L573" s="1">
        <v>29</v>
      </c>
      <c r="M573" s="1">
        <f t="shared" si="60"/>
        <v>392634</v>
      </c>
      <c r="N573" s="1">
        <f t="shared" si="61"/>
        <v>269712</v>
      </c>
      <c r="O573" s="4">
        <f t="shared" si="57"/>
        <v>0.6869298124971347</v>
      </c>
      <c r="P573" s="4">
        <f t="shared" si="58"/>
        <v>483.33333333333331</v>
      </c>
      <c r="Q573" s="4">
        <f t="shared" si="59"/>
        <v>6.5491744765572301E-4</v>
      </c>
    </row>
    <row r="574" spans="1:17">
      <c r="A574" s="1" t="s">
        <v>231</v>
      </c>
      <c r="B574" s="1" t="s">
        <v>20</v>
      </c>
      <c r="C574" s="1" t="s">
        <v>15</v>
      </c>
      <c r="D574" s="1" t="s">
        <v>391</v>
      </c>
      <c r="E574" s="1">
        <v>19909</v>
      </c>
      <c r="F574" s="1">
        <v>81409</v>
      </c>
      <c r="G574" s="1">
        <f t="shared" si="56"/>
        <v>101318</v>
      </c>
      <c r="H574" s="1">
        <v>81324</v>
      </c>
      <c r="I574" s="1">
        <v>0</v>
      </c>
      <c r="J574" s="1">
        <v>71</v>
      </c>
      <c r="K574" s="1">
        <f t="shared" si="62"/>
        <v>5774004</v>
      </c>
      <c r="L574" s="1">
        <v>10</v>
      </c>
      <c r="M574" s="1">
        <f t="shared" si="60"/>
        <v>4960764</v>
      </c>
      <c r="N574" s="1">
        <f t="shared" si="61"/>
        <v>4859446</v>
      </c>
      <c r="O574" s="4">
        <f t="shared" si="57"/>
        <v>0.97957612980581221</v>
      </c>
      <c r="P574" s="4">
        <f t="shared" si="58"/>
        <v>16.393442622950818</v>
      </c>
      <c r="Q574" s="4">
        <f t="shared" si="59"/>
        <v>0</v>
      </c>
    </row>
    <row r="575" spans="1:17">
      <c r="A575" s="1" t="s">
        <v>232</v>
      </c>
      <c r="B575" s="1" t="s">
        <v>17</v>
      </c>
      <c r="C575" s="1" t="s">
        <v>15</v>
      </c>
      <c r="D575" s="1" t="s">
        <v>391</v>
      </c>
      <c r="E575" s="1">
        <v>28717</v>
      </c>
      <c r="F575" s="1">
        <v>72514</v>
      </c>
      <c r="G575" s="1">
        <f t="shared" si="56"/>
        <v>101231</v>
      </c>
      <c r="H575" s="1">
        <v>62580</v>
      </c>
      <c r="I575" s="1">
        <v>15</v>
      </c>
      <c r="J575" s="1">
        <v>96</v>
      </c>
      <c r="K575" s="1">
        <f t="shared" si="62"/>
        <v>6007680</v>
      </c>
      <c r="L575" s="1">
        <v>5</v>
      </c>
      <c r="M575" s="1">
        <f t="shared" si="60"/>
        <v>5694780</v>
      </c>
      <c r="N575" s="1">
        <f t="shared" si="61"/>
        <v>5593549</v>
      </c>
      <c r="O575" s="4">
        <f t="shared" si="57"/>
        <v>0.98222389626991735</v>
      </c>
      <c r="P575" s="4">
        <f t="shared" si="58"/>
        <v>5.4945054945054945</v>
      </c>
      <c r="Q575" s="4">
        <f t="shared" si="59"/>
        <v>2.4968040907638221E-4</v>
      </c>
    </row>
    <row r="576" spans="1:17">
      <c r="A576" s="1" t="s">
        <v>233</v>
      </c>
      <c r="B576" s="1" t="s">
        <v>26</v>
      </c>
      <c r="C576" s="1" t="s">
        <v>31</v>
      </c>
      <c r="D576" s="1" t="s">
        <v>391</v>
      </c>
      <c r="E576" s="1">
        <v>5947</v>
      </c>
      <c r="F576" s="1">
        <v>282121</v>
      </c>
      <c r="G576" s="1">
        <f t="shared" si="56"/>
        <v>288068</v>
      </c>
      <c r="H576" s="1">
        <v>31398</v>
      </c>
      <c r="I576" s="1">
        <v>20</v>
      </c>
      <c r="J576" s="1">
        <v>121</v>
      </c>
      <c r="K576" s="1">
        <f t="shared" si="62"/>
        <v>3799158</v>
      </c>
      <c r="L576" s="1">
        <v>34</v>
      </c>
      <c r="M576" s="1">
        <f t="shared" si="60"/>
        <v>2731626</v>
      </c>
      <c r="N576" s="1">
        <f t="shared" si="61"/>
        <v>2443558</v>
      </c>
      <c r="O576" s="4">
        <f t="shared" si="57"/>
        <v>0.89454339649717785</v>
      </c>
      <c r="P576" s="4">
        <f t="shared" si="58"/>
        <v>39.080459770114942</v>
      </c>
      <c r="Q576" s="4">
        <f t="shared" si="59"/>
        <v>5.2643243581867354E-4</v>
      </c>
    </row>
    <row r="577" spans="1:17">
      <c r="A577" s="1" t="s">
        <v>234</v>
      </c>
      <c r="B577" s="1" t="s">
        <v>14</v>
      </c>
      <c r="C577" s="1" t="s">
        <v>21</v>
      </c>
      <c r="D577" s="1" t="s">
        <v>392</v>
      </c>
      <c r="E577" s="1">
        <v>45017</v>
      </c>
      <c r="F577" s="1">
        <v>392344</v>
      </c>
      <c r="G577" s="1">
        <f t="shared" si="56"/>
        <v>437361</v>
      </c>
      <c r="H577" s="1">
        <v>39984</v>
      </c>
      <c r="I577" s="1">
        <v>10</v>
      </c>
      <c r="J577" s="1">
        <v>146</v>
      </c>
      <c r="K577" s="1">
        <f t="shared" si="62"/>
        <v>5837664</v>
      </c>
      <c r="L577" s="1">
        <v>2</v>
      </c>
      <c r="M577" s="1">
        <f t="shared" si="60"/>
        <v>5757696</v>
      </c>
      <c r="N577" s="1">
        <f t="shared" si="61"/>
        <v>5320335</v>
      </c>
      <c r="O577" s="4">
        <f t="shared" si="57"/>
        <v>0.92403888638788845</v>
      </c>
      <c r="P577" s="4">
        <f t="shared" si="58"/>
        <v>1.3888888888888888</v>
      </c>
      <c r="Q577" s="4">
        <f t="shared" si="59"/>
        <v>1.7130139727123726E-4</v>
      </c>
    </row>
    <row r="578" spans="1:17">
      <c r="A578" s="1" t="s">
        <v>235</v>
      </c>
      <c r="B578" s="1" t="s">
        <v>20</v>
      </c>
      <c r="C578" s="1" t="s">
        <v>29</v>
      </c>
      <c r="D578" s="1" t="s">
        <v>391</v>
      </c>
      <c r="E578" s="1">
        <v>19199</v>
      </c>
      <c r="F578" s="1">
        <v>232746</v>
      </c>
      <c r="G578" s="1">
        <f t="shared" si="56"/>
        <v>251945</v>
      </c>
      <c r="H578" s="1">
        <v>47499</v>
      </c>
      <c r="I578" s="1">
        <v>20</v>
      </c>
      <c r="J578" s="1">
        <v>119</v>
      </c>
      <c r="K578" s="1">
        <f t="shared" si="62"/>
        <v>5652381</v>
      </c>
      <c r="L578" s="1">
        <v>98</v>
      </c>
      <c r="M578" s="1">
        <f t="shared" si="60"/>
        <v>997479</v>
      </c>
      <c r="N578" s="1">
        <f t="shared" si="61"/>
        <v>745534</v>
      </c>
      <c r="O578" s="4">
        <f t="shared" si="57"/>
        <v>0.74741824138653545</v>
      </c>
      <c r="P578" s="4">
        <f t="shared" si="58"/>
        <v>466.66666666666669</v>
      </c>
      <c r="Q578" s="4">
        <f t="shared" si="59"/>
        <v>3.538331899424331E-4</v>
      </c>
    </row>
    <row r="579" spans="1:17">
      <c r="A579" s="1" t="s">
        <v>236</v>
      </c>
      <c r="B579" s="1" t="s">
        <v>20</v>
      </c>
      <c r="C579" s="1" t="s">
        <v>29</v>
      </c>
      <c r="D579" s="1" t="s">
        <v>391</v>
      </c>
      <c r="E579" s="1">
        <v>36542</v>
      </c>
      <c r="F579" s="1">
        <v>142628</v>
      </c>
      <c r="G579" s="1">
        <f t="shared" ref="G579:G642" si="63">E579+F579</f>
        <v>179170</v>
      </c>
      <c r="H579" s="1">
        <v>44804</v>
      </c>
      <c r="I579" s="1">
        <v>15</v>
      </c>
      <c r="J579" s="1">
        <v>95</v>
      </c>
      <c r="K579" s="1">
        <f t="shared" si="62"/>
        <v>4256380</v>
      </c>
      <c r="L579" s="1">
        <v>102</v>
      </c>
      <c r="M579" s="1">
        <f t="shared" si="60"/>
        <v>-313628</v>
      </c>
      <c r="N579" s="1">
        <f t="shared" si="61"/>
        <v>-492798</v>
      </c>
      <c r="O579" s="4">
        <f t="shared" ref="O579:O642" si="64">SUM(N579/ABS(M579))</f>
        <v>-1.5712819008506893</v>
      </c>
      <c r="P579" s="4">
        <f t="shared" ref="P579:P642" si="65">SUM(H579*L579)/M579*100</f>
        <v>-1457.1428571428571</v>
      </c>
      <c r="Q579" s="4">
        <f t="shared" ref="Q579:Q642" si="66">I579/K579*100</f>
        <v>3.5241214365258741E-4</v>
      </c>
    </row>
    <row r="580" spans="1:17">
      <c r="A580" s="1" t="s">
        <v>237</v>
      </c>
      <c r="B580" s="1" t="s">
        <v>26</v>
      </c>
      <c r="C580" s="1" t="s">
        <v>18</v>
      </c>
      <c r="D580" s="1" t="s">
        <v>391</v>
      </c>
      <c r="E580" s="1">
        <v>35742</v>
      </c>
      <c r="F580" s="1">
        <v>193502</v>
      </c>
      <c r="G580" s="1">
        <f t="shared" si="63"/>
        <v>229244</v>
      </c>
      <c r="H580" s="1">
        <v>63741</v>
      </c>
      <c r="I580" s="1">
        <v>10</v>
      </c>
      <c r="J580" s="1">
        <v>104</v>
      </c>
      <c r="K580" s="1">
        <f t="shared" si="62"/>
        <v>6629064</v>
      </c>
      <c r="L580" s="1">
        <v>2</v>
      </c>
      <c r="M580" s="1">
        <f t="shared" ref="M580:M643" si="67">K580-H580*L580</f>
        <v>6501582</v>
      </c>
      <c r="N580" s="1">
        <f t="shared" ref="N580:N643" si="68">M580-G580</f>
        <v>6272338</v>
      </c>
      <c r="O580" s="4">
        <f t="shared" si="64"/>
        <v>0.96474027398254758</v>
      </c>
      <c r="P580" s="4">
        <f t="shared" si="65"/>
        <v>1.9607843137254901</v>
      </c>
      <c r="Q580" s="4">
        <f t="shared" si="66"/>
        <v>1.5085085918615357E-4</v>
      </c>
    </row>
    <row r="581" spans="1:17">
      <c r="A581" s="1" t="s">
        <v>238</v>
      </c>
      <c r="B581" s="1" t="s">
        <v>20</v>
      </c>
      <c r="C581" s="1" t="s">
        <v>122</v>
      </c>
      <c r="D581" s="1" t="s">
        <v>391</v>
      </c>
      <c r="E581" s="1">
        <v>27448</v>
      </c>
      <c r="F581" s="1">
        <v>261122</v>
      </c>
      <c r="G581" s="1">
        <f t="shared" si="63"/>
        <v>288570</v>
      </c>
      <c r="H581" s="1">
        <v>47884</v>
      </c>
      <c r="I581" s="1">
        <v>10</v>
      </c>
      <c r="J581" s="1">
        <v>26</v>
      </c>
      <c r="K581" s="1">
        <f t="shared" ref="K581:K644" si="69">H581*J581</f>
        <v>1244984</v>
      </c>
      <c r="L581" s="1">
        <v>29</v>
      </c>
      <c r="M581" s="1">
        <f t="shared" si="67"/>
        <v>-143652</v>
      </c>
      <c r="N581" s="1">
        <f t="shared" si="68"/>
        <v>-432222</v>
      </c>
      <c r="O581" s="4">
        <f t="shared" si="64"/>
        <v>-3.0088129646646062</v>
      </c>
      <c r="P581" s="4">
        <f t="shared" si="65"/>
        <v>-966.66666666666663</v>
      </c>
      <c r="Q581" s="4">
        <f t="shared" si="66"/>
        <v>8.0322317395243638E-4</v>
      </c>
    </row>
    <row r="582" spans="1:17">
      <c r="A582" s="1" t="s">
        <v>239</v>
      </c>
      <c r="B582" s="1" t="s">
        <v>17</v>
      </c>
      <c r="C582" s="1" t="s">
        <v>15</v>
      </c>
      <c r="D582" s="1" t="s">
        <v>391</v>
      </c>
      <c r="E582" s="1">
        <v>29360</v>
      </c>
      <c r="F582" s="1">
        <v>382208</v>
      </c>
      <c r="G582" s="1">
        <f t="shared" si="63"/>
        <v>411568</v>
      </c>
      <c r="H582" s="1">
        <v>76520</v>
      </c>
      <c r="I582" s="1">
        <v>0</v>
      </c>
      <c r="J582" s="1">
        <v>36</v>
      </c>
      <c r="K582" s="1">
        <f t="shared" si="69"/>
        <v>2754720</v>
      </c>
      <c r="L582" s="1">
        <v>7</v>
      </c>
      <c r="M582" s="1">
        <f t="shared" si="67"/>
        <v>2219080</v>
      </c>
      <c r="N582" s="1">
        <f t="shared" si="68"/>
        <v>1807512</v>
      </c>
      <c r="O582" s="4">
        <f t="shared" si="64"/>
        <v>0.81453214845791955</v>
      </c>
      <c r="P582" s="4">
        <f t="shared" si="65"/>
        <v>24.137931034482758</v>
      </c>
      <c r="Q582" s="4">
        <f t="shared" si="66"/>
        <v>0</v>
      </c>
    </row>
    <row r="583" spans="1:17">
      <c r="A583" s="1" t="s">
        <v>240</v>
      </c>
      <c r="B583" s="1" t="s">
        <v>14</v>
      </c>
      <c r="C583" s="1" t="s">
        <v>122</v>
      </c>
      <c r="D583" s="1" t="s">
        <v>392</v>
      </c>
      <c r="E583" s="1">
        <v>6933</v>
      </c>
      <c r="F583" s="1">
        <v>300302</v>
      </c>
      <c r="G583" s="1">
        <f t="shared" si="63"/>
        <v>307235</v>
      </c>
      <c r="H583" s="1">
        <v>44428</v>
      </c>
      <c r="I583" s="1">
        <v>20</v>
      </c>
      <c r="J583" s="1">
        <v>64</v>
      </c>
      <c r="K583" s="1">
        <f t="shared" si="69"/>
        <v>2843392</v>
      </c>
      <c r="L583" s="1">
        <v>0</v>
      </c>
      <c r="M583" s="1">
        <f t="shared" si="67"/>
        <v>2843392</v>
      </c>
      <c r="N583" s="1">
        <f t="shared" si="68"/>
        <v>2536157</v>
      </c>
      <c r="O583" s="4">
        <f t="shared" si="64"/>
        <v>0.89194771596740796</v>
      </c>
      <c r="P583" s="4">
        <f t="shared" si="65"/>
        <v>0</v>
      </c>
      <c r="Q583" s="4">
        <f t="shared" si="66"/>
        <v>7.0338525254344108E-4</v>
      </c>
    </row>
    <row r="584" spans="1:17">
      <c r="A584" s="1" t="s">
        <v>241</v>
      </c>
      <c r="B584" s="1" t="s">
        <v>14</v>
      </c>
      <c r="C584" s="1" t="s">
        <v>29</v>
      </c>
      <c r="D584" s="1" t="s">
        <v>391</v>
      </c>
      <c r="E584" s="1">
        <v>17862</v>
      </c>
      <c r="F584" s="1">
        <v>184325</v>
      </c>
      <c r="G584" s="1">
        <f t="shared" si="63"/>
        <v>202187</v>
      </c>
      <c r="H584" s="1">
        <v>65310</v>
      </c>
      <c r="I584" s="1">
        <v>15</v>
      </c>
      <c r="J584" s="1">
        <v>61</v>
      </c>
      <c r="K584" s="1">
        <f t="shared" si="69"/>
        <v>3983910</v>
      </c>
      <c r="L584" s="1">
        <v>12</v>
      </c>
      <c r="M584" s="1">
        <f t="shared" si="67"/>
        <v>3200190</v>
      </c>
      <c r="N584" s="1">
        <f t="shared" si="68"/>
        <v>2998003</v>
      </c>
      <c r="O584" s="4">
        <f t="shared" si="64"/>
        <v>0.93682031379386854</v>
      </c>
      <c r="P584" s="4">
        <f t="shared" si="65"/>
        <v>24.489795918367346</v>
      </c>
      <c r="Q584" s="4">
        <f t="shared" si="66"/>
        <v>3.7651452969570098E-4</v>
      </c>
    </row>
    <row r="585" spans="1:17">
      <c r="A585" s="1" t="s">
        <v>242</v>
      </c>
      <c r="B585" s="1" t="s">
        <v>20</v>
      </c>
      <c r="C585" s="1" t="s">
        <v>18</v>
      </c>
      <c r="D585" s="1" t="s">
        <v>391</v>
      </c>
      <c r="E585" s="1">
        <v>16214</v>
      </c>
      <c r="F585" s="1">
        <v>200867</v>
      </c>
      <c r="G585" s="1">
        <f t="shared" si="63"/>
        <v>217081</v>
      </c>
      <c r="H585" s="1">
        <v>62947</v>
      </c>
      <c r="I585" s="1">
        <v>10</v>
      </c>
      <c r="J585" s="1">
        <v>21</v>
      </c>
      <c r="K585" s="1">
        <f t="shared" si="69"/>
        <v>1321887</v>
      </c>
      <c r="L585" s="1">
        <v>4</v>
      </c>
      <c r="M585" s="1">
        <f t="shared" si="67"/>
        <v>1070099</v>
      </c>
      <c r="N585" s="1">
        <f t="shared" si="68"/>
        <v>853018</v>
      </c>
      <c r="O585" s="4">
        <f t="shared" si="64"/>
        <v>0.79713933009936466</v>
      </c>
      <c r="P585" s="4">
        <f t="shared" si="65"/>
        <v>23.52941176470588</v>
      </c>
      <c r="Q585" s="4">
        <f t="shared" si="66"/>
        <v>7.5649431456697894E-4</v>
      </c>
    </row>
    <row r="586" spans="1:17">
      <c r="A586" s="1" t="s">
        <v>243</v>
      </c>
      <c r="B586" s="1" t="s">
        <v>17</v>
      </c>
      <c r="C586" s="1" t="s">
        <v>15</v>
      </c>
      <c r="D586" s="1" t="s">
        <v>392</v>
      </c>
      <c r="E586" s="1">
        <v>33539</v>
      </c>
      <c r="F586" s="1">
        <v>235784</v>
      </c>
      <c r="G586" s="1">
        <f t="shared" si="63"/>
        <v>269323</v>
      </c>
      <c r="H586" s="1">
        <v>32219</v>
      </c>
      <c r="I586" s="1">
        <v>5</v>
      </c>
      <c r="J586" s="1">
        <v>133</v>
      </c>
      <c r="K586" s="1">
        <f t="shared" si="69"/>
        <v>4285127</v>
      </c>
      <c r="L586" s="1">
        <v>37</v>
      </c>
      <c r="M586" s="1">
        <f t="shared" si="67"/>
        <v>3093024</v>
      </c>
      <c r="N586" s="1">
        <f t="shared" si="68"/>
        <v>2823701</v>
      </c>
      <c r="O586" s="4">
        <f t="shared" si="64"/>
        <v>0.91292566756675664</v>
      </c>
      <c r="P586" s="4">
        <f t="shared" si="65"/>
        <v>38.541666666666671</v>
      </c>
      <c r="Q586" s="4">
        <f t="shared" si="66"/>
        <v>1.166826560799715E-4</v>
      </c>
    </row>
    <row r="587" spans="1:17">
      <c r="A587" s="1" t="s">
        <v>244</v>
      </c>
      <c r="B587" s="1" t="s">
        <v>26</v>
      </c>
      <c r="C587" s="1" t="s">
        <v>18</v>
      </c>
      <c r="D587" s="1" t="s">
        <v>392</v>
      </c>
      <c r="E587" s="1">
        <v>5762</v>
      </c>
      <c r="F587" s="1">
        <v>287161</v>
      </c>
      <c r="G587" s="1">
        <f t="shared" si="63"/>
        <v>292923</v>
      </c>
      <c r="H587" s="1">
        <v>15000</v>
      </c>
      <c r="I587" s="1">
        <v>20</v>
      </c>
      <c r="J587" s="1">
        <v>57</v>
      </c>
      <c r="K587" s="1">
        <f t="shared" si="69"/>
        <v>855000</v>
      </c>
      <c r="L587" s="1">
        <v>23</v>
      </c>
      <c r="M587" s="1">
        <f t="shared" si="67"/>
        <v>510000</v>
      </c>
      <c r="N587" s="1">
        <f t="shared" si="68"/>
        <v>217077</v>
      </c>
      <c r="O587" s="4">
        <f t="shared" si="64"/>
        <v>0.42564117647058825</v>
      </c>
      <c r="P587" s="4">
        <f t="shared" si="65"/>
        <v>67.64705882352942</v>
      </c>
      <c r="Q587" s="4">
        <f t="shared" si="66"/>
        <v>2.3391812865497076E-3</v>
      </c>
    </row>
    <row r="588" spans="1:17">
      <c r="A588" s="1" t="s">
        <v>245</v>
      </c>
      <c r="B588" s="1" t="s">
        <v>26</v>
      </c>
      <c r="C588" s="1" t="s">
        <v>18</v>
      </c>
      <c r="D588" s="1" t="s">
        <v>392</v>
      </c>
      <c r="E588" s="1">
        <v>41834</v>
      </c>
      <c r="F588" s="1">
        <v>253251</v>
      </c>
      <c r="G588" s="1">
        <f t="shared" si="63"/>
        <v>295085</v>
      </c>
      <c r="H588" s="1">
        <v>31129</v>
      </c>
      <c r="I588" s="1">
        <v>5</v>
      </c>
      <c r="J588" s="1">
        <v>77</v>
      </c>
      <c r="K588" s="1">
        <f t="shared" si="69"/>
        <v>2396933</v>
      </c>
      <c r="L588" s="1">
        <v>8</v>
      </c>
      <c r="M588" s="1">
        <f t="shared" si="67"/>
        <v>2147901</v>
      </c>
      <c r="N588" s="1">
        <f t="shared" si="68"/>
        <v>1852816</v>
      </c>
      <c r="O588" s="4">
        <f t="shared" si="64"/>
        <v>0.86261703868101924</v>
      </c>
      <c r="P588" s="4">
        <f t="shared" si="65"/>
        <v>11.594202898550725</v>
      </c>
      <c r="Q588" s="4">
        <f t="shared" si="66"/>
        <v>2.0859990663068181E-4</v>
      </c>
    </row>
    <row r="589" spans="1:17">
      <c r="A589" s="1" t="s">
        <v>246</v>
      </c>
      <c r="B589" s="1" t="s">
        <v>14</v>
      </c>
      <c r="C589" s="1" t="s">
        <v>21</v>
      </c>
      <c r="D589" s="1" t="s">
        <v>391</v>
      </c>
      <c r="E589" s="1">
        <v>16755</v>
      </c>
      <c r="F589" s="1">
        <v>256651</v>
      </c>
      <c r="G589" s="1">
        <f t="shared" si="63"/>
        <v>273406</v>
      </c>
      <c r="H589" s="1">
        <v>60700</v>
      </c>
      <c r="I589" s="1">
        <v>15</v>
      </c>
      <c r="J589" s="1">
        <v>84</v>
      </c>
      <c r="K589" s="1">
        <f t="shared" si="69"/>
        <v>5098800</v>
      </c>
      <c r="L589" s="1">
        <v>96</v>
      </c>
      <c r="M589" s="1">
        <f t="shared" si="67"/>
        <v>-728400</v>
      </c>
      <c r="N589" s="1">
        <f t="shared" si="68"/>
        <v>-1001806</v>
      </c>
      <c r="O589" s="4">
        <f t="shared" si="64"/>
        <v>-1.3753514552443713</v>
      </c>
      <c r="P589" s="4">
        <f t="shared" si="65"/>
        <v>-800</v>
      </c>
      <c r="Q589" s="4">
        <f t="shared" si="66"/>
        <v>2.9418686749823486E-4</v>
      </c>
    </row>
    <row r="590" spans="1:17">
      <c r="A590" s="1" t="s">
        <v>247</v>
      </c>
      <c r="B590" s="1" t="s">
        <v>26</v>
      </c>
      <c r="C590" s="1" t="s">
        <v>31</v>
      </c>
      <c r="D590" s="1" t="s">
        <v>392</v>
      </c>
      <c r="E590" s="1">
        <v>34327</v>
      </c>
      <c r="F590" s="1">
        <v>382966</v>
      </c>
      <c r="G590" s="1">
        <f t="shared" si="63"/>
        <v>417293</v>
      </c>
      <c r="H590" s="1">
        <v>32027</v>
      </c>
      <c r="I590" s="1">
        <v>15</v>
      </c>
      <c r="J590" s="1">
        <v>32</v>
      </c>
      <c r="K590" s="1">
        <f t="shared" si="69"/>
        <v>1024864</v>
      </c>
      <c r="L590" s="1">
        <v>34</v>
      </c>
      <c r="M590" s="1">
        <f t="shared" si="67"/>
        <v>-64054</v>
      </c>
      <c r="N590" s="1">
        <f t="shared" si="68"/>
        <v>-481347</v>
      </c>
      <c r="O590" s="4">
        <f t="shared" si="64"/>
        <v>-7.5147063415243389</v>
      </c>
      <c r="P590" s="4">
        <f t="shared" si="65"/>
        <v>-1700</v>
      </c>
      <c r="Q590" s="4">
        <f t="shared" si="66"/>
        <v>1.4636088300496457E-3</v>
      </c>
    </row>
    <row r="591" spans="1:17">
      <c r="A591" s="1" t="s">
        <v>248</v>
      </c>
      <c r="B591" s="1" t="s">
        <v>17</v>
      </c>
      <c r="C591" s="1" t="s">
        <v>29</v>
      </c>
      <c r="D591" s="1" t="s">
        <v>392</v>
      </c>
      <c r="E591" s="1">
        <v>15516</v>
      </c>
      <c r="F591" s="1">
        <v>168344</v>
      </c>
      <c r="G591" s="1">
        <f t="shared" si="63"/>
        <v>183860</v>
      </c>
      <c r="H591" s="1">
        <v>62448</v>
      </c>
      <c r="I591" s="1">
        <v>10</v>
      </c>
      <c r="J591" s="1">
        <v>38</v>
      </c>
      <c r="K591" s="1">
        <f t="shared" si="69"/>
        <v>2373024</v>
      </c>
      <c r="L591" s="1">
        <v>23</v>
      </c>
      <c r="M591" s="1">
        <f t="shared" si="67"/>
        <v>936720</v>
      </c>
      <c r="N591" s="1">
        <f t="shared" si="68"/>
        <v>752860</v>
      </c>
      <c r="O591" s="4">
        <f t="shared" si="64"/>
        <v>0.8037193611751644</v>
      </c>
      <c r="P591" s="4">
        <f t="shared" si="65"/>
        <v>153.33333333333334</v>
      </c>
      <c r="Q591" s="4">
        <f t="shared" si="66"/>
        <v>4.2140323907385684E-4</v>
      </c>
    </row>
    <row r="592" spans="1:17">
      <c r="A592" s="1" t="s">
        <v>249</v>
      </c>
      <c r="B592" s="1" t="s">
        <v>17</v>
      </c>
      <c r="C592" s="1" t="s">
        <v>29</v>
      </c>
      <c r="D592" s="1" t="s">
        <v>391</v>
      </c>
      <c r="E592" s="1">
        <v>41245</v>
      </c>
      <c r="F592" s="1">
        <v>148170</v>
      </c>
      <c r="G592" s="1">
        <f t="shared" si="63"/>
        <v>189415</v>
      </c>
      <c r="H592" s="1">
        <v>18586</v>
      </c>
      <c r="I592" s="1">
        <v>0</v>
      </c>
      <c r="J592" s="1">
        <v>19</v>
      </c>
      <c r="K592" s="1">
        <f t="shared" si="69"/>
        <v>353134</v>
      </c>
      <c r="L592" s="1">
        <v>16</v>
      </c>
      <c r="M592" s="1">
        <f t="shared" si="67"/>
        <v>55758</v>
      </c>
      <c r="N592" s="1">
        <f t="shared" si="68"/>
        <v>-133657</v>
      </c>
      <c r="O592" s="4">
        <f t="shared" si="64"/>
        <v>-2.3970910003945622</v>
      </c>
      <c r="P592" s="4">
        <f t="shared" si="65"/>
        <v>533.33333333333326</v>
      </c>
      <c r="Q592" s="4">
        <f t="shared" si="66"/>
        <v>0</v>
      </c>
    </row>
    <row r="593" spans="1:17">
      <c r="A593" s="1" t="s">
        <v>250</v>
      </c>
      <c r="B593" s="1" t="s">
        <v>14</v>
      </c>
      <c r="C593" s="1" t="s">
        <v>15</v>
      </c>
      <c r="D593" s="1" t="s">
        <v>392</v>
      </c>
      <c r="E593" s="1">
        <v>41559</v>
      </c>
      <c r="F593" s="1">
        <v>389701</v>
      </c>
      <c r="G593" s="1">
        <f t="shared" si="63"/>
        <v>431260</v>
      </c>
      <c r="H593" s="1">
        <v>73780</v>
      </c>
      <c r="I593" s="1">
        <v>5</v>
      </c>
      <c r="J593" s="1">
        <v>135</v>
      </c>
      <c r="K593" s="1">
        <f t="shared" si="69"/>
        <v>9960300</v>
      </c>
      <c r="L593" s="1">
        <v>17</v>
      </c>
      <c r="M593" s="1">
        <f t="shared" si="67"/>
        <v>8706040</v>
      </c>
      <c r="N593" s="1">
        <f t="shared" si="68"/>
        <v>8274780</v>
      </c>
      <c r="O593" s="4">
        <f t="shared" si="64"/>
        <v>0.95046427537663503</v>
      </c>
      <c r="P593" s="4">
        <f t="shared" si="65"/>
        <v>14.40677966101695</v>
      </c>
      <c r="Q593" s="4">
        <f t="shared" si="66"/>
        <v>5.019929118600845E-5</v>
      </c>
    </row>
    <row r="594" spans="1:17">
      <c r="A594" s="1" t="s">
        <v>251</v>
      </c>
      <c r="B594" s="1" t="s">
        <v>14</v>
      </c>
      <c r="C594" s="1" t="s">
        <v>74</v>
      </c>
      <c r="D594" s="1" t="s">
        <v>392</v>
      </c>
      <c r="E594" s="1">
        <v>25767</v>
      </c>
      <c r="F594" s="1">
        <v>97133</v>
      </c>
      <c r="G594" s="1">
        <f t="shared" si="63"/>
        <v>122900</v>
      </c>
      <c r="H594" s="1">
        <v>43182</v>
      </c>
      <c r="I594" s="1">
        <v>15</v>
      </c>
      <c r="J594" s="1">
        <v>120</v>
      </c>
      <c r="K594" s="1">
        <f t="shared" si="69"/>
        <v>5181840</v>
      </c>
      <c r="L594" s="1">
        <v>9</v>
      </c>
      <c r="M594" s="1">
        <f t="shared" si="67"/>
        <v>4793202</v>
      </c>
      <c r="N594" s="1">
        <f t="shared" si="68"/>
        <v>4670302</v>
      </c>
      <c r="O594" s="4">
        <f t="shared" si="64"/>
        <v>0.97435952000353832</v>
      </c>
      <c r="P594" s="4">
        <f t="shared" si="65"/>
        <v>8.1081081081081088</v>
      </c>
      <c r="Q594" s="4">
        <f t="shared" si="66"/>
        <v>2.8947246537909315E-4</v>
      </c>
    </row>
    <row r="595" spans="1:17">
      <c r="A595" s="1" t="s">
        <v>252</v>
      </c>
      <c r="B595" s="1" t="s">
        <v>20</v>
      </c>
      <c r="C595" s="1" t="s">
        <v>18</v>
      </c>
      <c r="D595" s="1" t="s">
        <v>392</v>
      </c>
      <c r="E595" s="1">
        <v>37370</v>
      </c>
      <c r="F595" s="1">
        <v>59876</v>
      </c>
      <c r="G595" s="1">
        <f t="shared" si="63"/>
        <v>97246</v>
      </c>
      <c r="H595" s="1">
        <v>83393</v>
      </c>
      <c r="I595" s="1">
        <v>10</v>
      </c>
      <c r="J595" s="1">
        <v>47</v>
      </c>
      <c r="K595" s="1">
        <f t="shared" si="69"/>
        <v>3919471</v>
      </c>
      <c r="L595" s="1">
        <v>19</v>
      </c>
      <c r="M595" s="1">
        <f t="shared" si="67"/>
        <v>2335004</v>
      </c>
      <c r="N595" s="1">
        <f t="shared" si="68"/>
        <v>2237758</v>
      </c>
      <c r="O595" s="4">
        <f t="shared" si="64"/>
        <v>0.95835296213625332</v>
      </c>
      <c r="P595" s="4">
        <f t="shared" si="65"/>
        <v>67.857142857142861</v>
      </c>
      <c r="Q595" s="4">
        <f t="shared" si="66"/>
        <v>2.5513647122277471E-4</v>
      </c>
    </row>
    <row r="596" spans="1:17">
      <c r="A596" s="1" t="s">
        <v>253</v>
      </c>
      <c r="B596" s="1" t="s">
        <v>26</v>
      </c>
      <c r="C596" s="1" t="s">
        <v>18</v>
      </c>
      <c r="D596" s="1" t="s">
        <v>392</v>
      </c>
      <c r="E596" s="1">
        <v>38048</v>
      </c>
      <c r="F596" s="1">
        <v>159962</v>
      </c>
      <c r="G596" s="1">
        <f t="shared" si="63"/>
        <v>198010</v>
      </c>
      <c r="H596" s="1">
        <v>45546</v>
      </c>
      <c r="I596" s="1">
        <v>15</v>
      </c>
      <c r="J596" s="1">
        <v>42</v>
      </c>
      <c r="K596" s="1">
        <f t="shared" si="69"/>
        <v>1912932</v>
      </c>
      <c r="L596" s="1">
        <v>4</v>
      </c>
      <c r="M596" s="1">
        <f t="shared" si="67"/>
        <v>1730748</v>
      </c>
      <c r="N596" s="1">
        <f t="shared" si="68"/>
        <v>1532738</v>
      </c>
      <c r="O596" s="4">
        <f t="shared" si="64"/>
        <v>0.88559281882746654</v>
      </c>
      <c r="P596" s="4">
        <f t="shared" si="65"/>
        <v>10.526315789473683</v>
      </c>
      <c r="Q596" s="4">
        <f t="shared" si="66"/>
        <v>7.8413660286931269E-4</v>
      </c>
    </row>
    <row r="597" spans="1:17">
      <c r="A597" s="1" t="s">
        <v>254</v>
      </c>
      <c r="B597" s="1" t="s">
        <v>17</v>
      </c>
      <c r="C597" s="1" t="s">
        <v>122</v>
      </c>
      <c r="D597" s="1" t="s">
        <v>392</v>
      </c>
      <c r="E597" s="1">
        <v>16746</v>
      </c>
      <c r="F597" s="1">
        <v>131433</v>
      </c>
      <c r="G597" s="1">
        <f t="shared" si="63"/>
        <v>148179</v>
      </c>
      <c r="H597" s="1">
        <v>63913</v>
      </c>
      <c r="I597" s="1">
        <v>15</v>
      </c>
      <c r="J597" s="1">
        <v>126</v>
      </c>
      <c r="K597" s="1">
        <f t="shared" si="69"/>
        <v>8053038</v>
      </c>
      <c r="L597" s="1">
        <v>12</v>
      </c>
      <c r="M597" s="1">
        <f t="shared" si="67"/>
        <v>7286082</v>
      </c>
      <c r="N597" s="1">
        <f t="shared" si="68"/>
        <v>7137903</v>
      </c>
      <c r="O597" s="4">
        <f t="shared" si="64"/>
        <v>0.97966273231621603</v>
      </c>
      <c r="P597" s="4">
        <f t="shared" si="65"/>
        <v>10.526315789473683</v>
      </c>
      <c r="Q597" s="4">
        <f t="shared" si="66"/>
        <v>1.8626510889430798E-4</v>
      </c>
    </row>
    <row r="598" spans="1:17">
      <c r="A598" s="1" t="s">
        <v>255</v>
      </c>
      <c r="B598" s="1" t="s">
        <v>17</v>
      </c>
      <c r="C598" s="1" t="s">
        <v>74</v>
      </c>
      <c r="D598" s="1" t="s">
        <v>391</v>
      </c>
      <c r="E598" s="1">
        <v>16205</v>
      </c>
      <c r="F598" s="1">
        <v>143829</v>
      </c>
      <c r="G598" s="1">
        <f t="shared" si="63"/>
        <v>160034</v>
      </c>
      <c r="H598" s="1">
        <v>79135</v>
      </c>
      <c r="I598" s="1">
        <v>10</v>
      </c>
      <c r="J598" s="1">
        <v>125</v>
      </c>
      <c r="K598" s="1">
        <f t="shared" si="69"/>
        <v>9891875</v>
      </c>
      <c r="L598" s="1">
        <v>17</v>
      </c>
      <c r="M598" s="1">
        <f t="shared" si="67"/>
        <v>8546580</v>
      </c>
      <c r="N598" s="1">
        <f t="shared" si="68"/>
        <v>8386546</v>
      </c>
      <c r="O598" s="4">
        <f t="shared" si="64"/>
        <v>0.98127508313266831</v>
      </c>
      <c r="P598" s="4">
        <f t="shared" si="65"/>
        <v>15.74074074074074</v>
      </c>
      <c r="Q598" s="4">
        <f t="shared" si="66"/>
        <v>1.0109306880646996E-4</v>
      </c>
    </row>
    <row r="599" spans="1:17">
      <c r="A599" s="1" t="s">
        <v>256</v>
      </c>
      <c r="B599" s="1" t="s">
        <v>20</v>
      </c>
      <c r="C599" s="1" t="s">
        <v>15</v>
      </c>
      <c r="D599" s="1" t="s">
        <v>392</v>
      </c>
      <c r="E599" s="1">
        <v>18605</v>
      </c>
      <c r="F599" s="1">
        <v>60377</v>
      </c>
      <c r="G599" s="1">
        <f t="shared" si="63"/>
        <v>78982</v>
      </c>
      <c r="H599" s="1">
        <v>12475</v>
      </c>
      <c r="I599" s="1">
        <v>10</v>
      </c>
      <c r="J599" s="1">
        <v>117</v>
      </c>
      <c r="K599" s="1">
        <f t="shared" si="69"/>
        <v>1459575</v>
      </c>
      <c r="L599" s="1">
        <v>28</v>
      </c>
      <c r="M599" s="1">
        <f t="shared" si="67"/>
        <v>1110275</v>
      </c>
      <c r="N599" s="1">
        <f t="shared" si="68"/>
        <v>1031293</v>
      </c>
      <c r="O599" s="4">
        <f t="shared" si="64"/>
        <v>0.92886266915854176</v>
      </c>
      <c r="P599" s="4">
        <f t="shared" si="65"/>
        <v>31.460674157303369</v>
      </c>
      <c r="Q599" s="4">
        <f t="shared" si="66"/>
        <v>6.8513094565198765E-4</v>
      </c>
    </row>
    <row r="600" spans="1:17">
      <c r="A600" s="1" t="s">
        <v>257</v>
      </c>
      <c r="B600" s="1" t="s">
        <v>14</v>
      </c>
      <c r="C600" s="1" t="s">
        <v>15</v>
      </c>
      <c r="D600" s="1" t="s">
        <v>391</v>
      </c>
      <c r="E600" s="1">
        <v>8538</v>
      </c>
      <c r="F600" s="1">
        <v>108665</v>
      </c>
      <c r="G600" s="1">
        <f t="shared" si="63"/>
        <v>117203</v>
      </c>
      <c r="H600" s="1">
        <v>39886</v>
      </c>
      <c r="I600" s="1">
        <v>20</v>
      </c>
      <c r="J600" s="1">
        <v>63</v>
      </c>
      <c r="K600" s="1">
        <f t="shared" si="69"/>
        <v>2512818</v>
      </c>
      <c r="L600" s="1">
        <v>36</v>
      </c>
      <c r="M600" s="1">
        <f t="shared" si="67"/>
        <v>1076922</v>
      </c>
      <c r="N600" s="1">
        <f t="shared" si="68"/>
        <v>959719</v>
      </c>
      <c r="O600" s="4">
        <f t="shared" si="64"/>
        <v>0.89116853402567686</v>
      </c>
      <c r="P600" s="4">
        <f t="shared" si="65"/>
        <v>133.33333333333331</v>
      </c>
      <c r="Q600" s="4">
        <f t="shared" si="66"/>
        <v>7.959191632661021E-4</v>
      </c>
    </row>
    <row r="601" spans="1:17">
      <c r="A601" s="1" t="s">
        <v>258</v>
      </c>
      <c r="B601" s="1" t="s">
        <v>20</v>
      </c>
      <c r="C601" s="1" t="s">
        <v>15</v>
      </c>
      <c r="D601" s="1" t="s">
        <v>391</v>
      </c>
      <c r="E601" s="1">
        <v>27454</v>
      </c>
      <c r="F601" s="1">
        <v>189659</v>
      </c>
      <c r="G601" s="1">
        <f t="shared" si="63"/>
        <v>217113</v>
      </c>
      <c r="H601" s="1">
        <v>40725</v>
      </c>
      <c r="I601" s="1">
        <v>20</v>
      </c>
      <c r="J601" s="1">
        <v>10</v>
      </c>
      <c r="K601" s="1">
        <f t="shared" si="69"/>
        <v>407250</v>
      </c>
      <c r="L601" s="1">
        <v>21</v>
      </c>
      <c r="M601" s="1">
        <f t="shared" si="67"/>
        <v>-447975</v>
      </c>
      <c r="N601" s="1">
        <f t="shared" si="68"/>
        <v>-665088</v>
      </c>
      <c r="O601" s="4">
        <f t="shared" si="64"/>
        <v>-1.4846542775824543</v>
      </c>
      <c r="P601" s="4">
        <f t="shared" si="65"/>
        <v>-190.90909090909091</v>
      </c>
      <c r="Q601" s="4">
        <f t="shared" si="66"/>
        <v>4.9109883364027006E-3</v>
      </c>
    </row>
    <row r="602" spans="1:17">
      <c r="A602" s="1" t="s">
        <v>259</v>
      </c>
      <c r="B602" s="1" t="s">
        <v>17</v>
      </c>
      <c r="C602" s="1" t="s">
        <v>21</v>
      </c>
      <c r="D602" s="1" t="s">
        <v>391</v>
      </c>
      <c r="E602" s="1">
        <v>31606</v>
      </c>
      <c r="F602" s="1">
        <v>286871</v>
      </c>
      <c r="G602" s="1">
        <f t="shared" si="63"/>
        <v>318477</v>
      </c>
      <c r="H602" s="1">
        <v>14654</v>
      </c>
      <c r="I602" s="1">
        <v>20</v>
      </c>
      <c r="J602" s="1">
        <v>119</v>
      </c>
      <c r="K602" s="1">
        <f t="shared" si="69"/>
        <v>1743826</v>
      </c>
      <c r="L602" s="1">
        <v>5</v>
      </c>
      <c r="M602" s="1">
        <f t="shared" si="67"/>
        <v>1670556</v>
      </c>
      <c r="N602" s="1">
        <f t="shared" si="68"/>
        <v>1352079</v>
      </c>
      <c r="O602" s="4">
        <f t="shared" si="64"/>
        <v>0.80935868058299154</v>
      </c>
      <c r="P602" s="4">
        <f t="shared" si="65"/>
        <v>4.3859649122807012</v>
      </c>
      <c r="Q602" s="4">
        <f t="shared" si="66"/>
        <v>1.146903418116257E-3</v>
      </c>
    </row>
    <row r="603" spans="1:17">
      <c r="A603" s="1" t="s">
        <v>260</v>
      </c>
      <c r="B603" s="1" t="s">
        <v>17</v>
      </c>
      <c r="C603" s="1" t="s">
        <v>15</v>
      </c>
      <c r="D603" s="1" t="s">
        <v>392</v>
      </c>
      <c r="E603" s="1">
        <v>9766</v>
      </c>
      <c r="F603" s="1">
        <v>197553</v>
      </c>
      <c r="G603" s="1">
        <f t="shared" si="63"/>
        <v>207319</v>
      </c>
      <c r="H603" s="1">
        <v>81996</v>
      </c>
      <c r="I603" s="1">
        <v>5</v>
      </c>
      <c r="J603" s="1">
        <v>40</v>
      </c>
      <c r="K603" s="1">
        <f t="shared" si="69"/>
        <v>3279840</v>
      </c>
      <c r="L603" s="1">
        <v>34</v>
      </c>
      <c r="M603" s="1">
        <f t="shared" si="67"/>
        <v>491976</v>
      </c>
      <c r="N603" s="1">
        <f t="shared" si="68"/>
        <v>284657</v>
      </c>
      <c r="O603" s="4">
        <f t="shared" si="64"/>
        <v>0.57859936257053191</v>
      </c>
      <c r="P603" s="4">
        <f t="shared" si="65"/>
        <v>566.66666666666674</v>
      </c>
      <c r="Q603" s="4">
        <f t="shared" si="66"/>
        <v>1.52446460802966E-4</v>
      </c>
    </row>
    <row r="604" spans="1:17">
      <c r="A604" s="1" t="s">
        <v>261</v>
      </c>
      <c r="B604" s="1" t="s">
        <v>17</v>
      </c>
      <c r="C604" s="1" t="s">
        <v>21</v>
      </c>
      <c r="D604" s="1" t="s">
        <v>391</v>
      </c>
      <c r="E604" s="1">
        <v>18644</v>
      </c>
      <c r="F604" s="1">
        <v>351605</v>
      </c>
      <c r="G604" s="1">
        <f t="shared" si="63"/>
        <v>370249</v>
      </c>
      <c r="H604" s="1">
        <v>25659</v>
      </c>
      <c r="I604" s="1">
        <v>5</v>
      </c>
      <c r="J604" s="1">
        <v>16</v>
      </c>
      <c r="K604" s="1">
        <f t="shared" si="69"/>
        <v>410544</v>
      </c>
      <c r="L604" s="1">
        <v>62</v>
      </c>
      <c r="M604" s="1">
        <f t="shared" si="67"/>
        <v>-1180314</v>
      </c>
      <c r="N604" s="1">
        <f t="shared" si="68"/>
        <v>-1550563</v>
      </c>
      <c r="O604" s="4">
        <f t="shared" si="64"/>
        <v>-1.3136868663762356</v>
      </c>
      <c r="P604" s="4">
        <f t="shared" si="65"/>
        <v>-134.78260869565219</v>
      </c>
      <c r="Q604" s="4">
        <f t="shared" si="66"/>
        <v>1.2178962547254374E-3</v>
      </c>
    </row>
    <row r="605" spans="1:17">
      <c r="A605" s="1" t="s">
        <v>262</v>
      </c>
      <c r="B605" s="1" t="s">
        <v>17</v>
      </c>
      <c r="C605" s="1" t="s">
        <v>29</v>
      </c>
      <c r="D605" s="1" t="s">
        <v>392</v>
      </c>
      <c r="E605" s="1">
        <v>37105</v>
      </c>
      <c r="F605" s="1">
        <v>166306</v>
      </c>
      <c r="G605" s="1">
        <f t="shared" si="63"/>
        <v>203411</v>
      </c>
      <c r="H605" s="1">
        <v>29962</v>
      </c>
      <c r="I605" s="1">
        <v>5</v>
      </c>
      <c r="J605" s="1">
        <v>122</v>
      </c>
      <c r="K605" s="1">
        <f t="shared" si="69"/>
        <v>3655364</v>
      </c>
      <c r="L605" s="1">
        <v>36</v>
      </c>
      <c r="M605" s="1">
        <f t="shared" si="67"/>
        <v>2576732</v>
      </c>
      <c r="N605" s="1">
        <f t="shared" si="68"/>
        <v>2373321</v>
      </c>
      <c r="O605" s="4">
        <f t="shared" si="64"/>
        <v>0.92105853460895426</v>
      </c>
      <c r="P605" s="4">
        <f t="shared" si="65"/>
        <v>41.860465116279073</v>
      </c>
      <c r="Q605" s="4">
        <f t="shared" si="66"/>
        <v>1.3678528321666458E-4</v>
      </c>
    </row>
    <row r="606" spans="1:17">
      <c r="A606" s="1" t="s">
        <v>263</v>
      </c>
      <c r="B606" s="1" t="s">
        <v>17</v>
      </c>
      <c r="C606" s="1" t="s">
        <v>29</v>
      </c>
      <c r="D606" s="1" t="s">
        <v>391</v>
      </c>
      <c r="E606" s="1">
        <v>38333</v>
      </c>
      <c r="F606" s="1">
        <v>351262</v>
      </c>
      <c r="G606" s="1">
        <f t="shared" si="63"/>
        <v>389595</v>
      </c>
      <c r="H606" s="1">
        <v>63521</v>
      </c>
      <c r="I606" s="1">
        <v>15</v>
      </c>
      <c r="J606" s="1">
        <v>110</v>
      </c>
      <c r="K606" s="1">
        <f t="shared" si="69"/>
        <v>6987310</v>
      </c>
      <c r="L606" s="1">
        <v>6</v>
      </c>
      <c r="M606" s="1">
        <f t="shared" si="67"/>
        <v>6606184</v>
      </c>
      <c r="N606" s="1">
        <f t="shared" si="68"/>
        <v>6216589</v>
      </c>
      <c r="O606" s="4">
        <f t="shared" si="64"/>
        <v>0.94102571166652338</v>
      </c>
      <c r="P606" s="4">
        <f t="shared" si="65"/>
        <v>5.7692307692307692</v>
      </c>
      <c r="Q606" s="4">
        <f t="shared" si="66"/>
        <v>2.1467488919197801E-4</v>
      </c>
    </row>
    <row r="607" spans="1:17">
      <c r="A607" s="1" t="s">
        <v>264</v>
      </c>
      <c r="B607" s="1" t="s">
        <v>26</v>
      </c>
      <c r="C607" s="1" t="s">
        <v>29</v>
      </c>
      <c r="D607" s="1" t="s">
        <v>391</v>
      </c>
      <c r="E607" s="1">
        <v>25402</v>
      </c>
      <c r="F607" s="1">
        <v>72427</v>
      </c>
      <c r="G607" s="1">
        <f t="shared" si="63"/>
        <v>97829</v>
      </c>
      <c r="H607" s="1">
        <v>47704</v>
      </c>
      <c r="I607" s="1">
        <v>5</v>
      </c>
      <c r="J607" s="1">
        <v>67</v>
      </c>
      <c r="K607" s="1">
        <f t="shared" si="69"/>
        <v>3196168</v>
      </c>
      <c r="L607" s="1">
        <v>32</v>
      </c>
      <c r="M607" s="1">
        <f t="shared" si="67"/>
        <v>1669640</v>
      </c>
      <c r="N607" s="1">
        <f t="shared" si="68"/>
        <v>1571811</v>
      </c>
      <c r="O607" s="4">
        <f t="shared" si="64"/>
        <v>0.94140712968064977</v>
      </c>
      <c r="P607" s="4">
        <f t="shared" si="65"/>
        <v>91.428571428571431</v>
      </c>
      <c r="Q607" s="4">
        <f t="shared" si="66"/>
        <v>1.5643733370711426E-4</v>
      </c>
    </row>
    <row r="608" spans="1:17">
      <c r="A608" s="1" t="s">
        <v>265</v>
      </c>
      <c r="B608" s="1" t="s">
        <v>26</v>
      </c>
      <c r="C608" s="1" t="s">
        <v>29</v>
      </c>
      <c r="D608" s="1" t="s">
        <v>391</v>
      </c>
      <c r="E608" s="1">
        <v>42989</v>
      </c>
      <c r="F608" s="1">
        <v>140362</v>
      </c>
      <c r="G608" s="1">
        <f t="shared" si="63"/>
        <v>183351</v>
      </c>
      <c r="H608" s="1">
        <v>27051</v>
      </c>
      <c r="I608" s="1">
        <v>5</v>
      </c>
      <c r="J608" s="1">
        <v>41</v>
      </c>
      <c r="K608" s="1">
        <f t="shared" si="69"/>
        <v>1109091</v>
      </c>
      <c r="L608" s="1">
        <v>7</v>
      </c>
      <c r="M608" s="1">
        <f t="shared" si="67"/>
        <v>919734</v>
      </c>
      <c r="N608" s="1">
        <f t="shared" si="68"/>
        <v>736383</v>
      </c>
      <c r="O608" s="4">
        <f t="shared" si="64"/>
        <v>0.80064779599318936</v>
      </c>
      <c r="P608" s="4">
        <f t="shared" si="65"/>
        <v>20.588235294117645</v>
      </c>
      <c r="Q608" s="4">
        <f t="shared" si="66"/>
        <v>4.5081963517871847E-4</v>
      </c>
    </row>
    <row r="609" spans="1:17">
      <c r="A609" s="1" t="s">
        <v>266</v>
      </c>
      <c r="B609" s="1" t="s">
        <v>14</v>
      </c>
      <c r="C609" s="1" t="s">
        <v>18</v>
      </c>
      <c r="D609" s="1" t="s">
        <v>391</v>
      </c>
      <c r="E609" s="1">
        <v>11396</v>
      </c>
      <c r="F609" s="1">
        <v>104631</v>
      </c>
      <c r="G609" s="1">
        <f t="shared" si="63"/>
        <v>116027</v>
      </c>
      <c r="H609" s="1">
        <v>37632</v>
      </c>
      <c r="I609" s="1">
        <v>20</v>
      </c>
      <c r="J609" s="1">
        <v>13</v>
      </c>
      <c r="K609" s="1">
        <f t="shared" si="69"/>
        <v>489216</v>
      </c>
      <c r="L609" s="1">
        <v>9</v>
      </c>
      <c r="M609" s="1">
        <f t="shared" si="67"/>
        <v>150528</v>
      </c>
      <c r="N609" s="1">
        <f t="shared" si="68"/>
        <v>34501</v>
      </c>
      <c r="O609" s="4">
        <f t="shared" si="64"/>
        <v>0.2291998830782313</v>
      </c>
      <c r="P609" s="4">
        <f t="shared" si="65"/>
        <v>225</v>
      </c>
      <c r="Q609" s="4">
        <f t="shared" si="66"/>
        <v>4.0881737310308735E-3</v>
      </c>
    </row>
    <row r="610" spans="1:17">
      <c r="A610" s="1" t="s">
        <v>267</v>
      </c>
      <c r="B610" s="1" t="s">
        <v>20</v>
      </c>
      <c r="C610" s="1" t="s">
        <v>15</v>
      </c>
      <c r="D610" s="1" t="s">
        <v>392</v>
      </c>
      <c r="E610" s="1">
        <v>33820</v>
      </c>
      <c r="F610" s="1">
        <v>217758</v>
      </c>
      <c r="G610" s="1">
        <f t="shared" si="63"/>
        <v>251578</v>
      </c>
      <c r="H610" s="1">
        <v>81746</v>
      </c>
      <c r="I610" s="1">
        <v>10</v>
      </c>
      <c r="J610" s="1">
        <v>44</v>
      </c>
      <c r="K610" s="1">
        <f t="shared" si="69"/>
        <v>3596824</v>
      </c>
      <c r="L610" s="1">
        <v>38</v>
      </c>
      <c r="M610" s="1">
        <f t="shared" si="67"/>
        <v>490476</v>
      </c>
      <c r="N610" s="1">
        <f t="shared" si="68"/>
        <v>238898</v>
      </c>
      <c r="O610" s="4">
        <f t="shared" si="64"/>
        <v>0.48707378138787627</v>
      </c>
      <c r="P610" s="4">
        <f t="shared" si="65"/>
        <v>633.33333333333326</v>
      </c>
      <c r="Q610" s="4">
        <f t="shared" si="66"/>
        <v>2.7802305589597938E-4</v>
      </c>
    </row>
    <row r="611" spans="1:17">
      <c r="A611" s="1" t="s">
        <v>268</v>
      </c>
      <c r="B611" s="1" t="s">
        <v>14</v>
      </c>
      <c r="C611" s="1" t="s">
        <v>15</v>
      </c>
      <c r="D611" s="1" t="s">
        <v>392</v>
      </c>
      <c r="E611" s="1">
        <v>28780</v>
      </c>
      <c r="F611" s="1">
        <v>193541</v>
      </c>
      <c r="G611" s="1">
        <f t="shared" si="63"/>
        <v>222321</v>
      </c>
      <c r="H611" s="1">
        <v>72072</v>
      </c>
      <c r="I611" s="1">
        <v>10</v>
      </c>
      <c r="J611" s="1">
        <v>85</v>
      </c>
      <c r="K611" s="1">
        <f t="shared" si="69"/>
        <v>6126120</v>
      </c>
      <c r="L611" s="1">
        <v>17</v>
      </c>
      <c r="M611" s="1">
        <f t="shared" si="67"/>
        <v>4900896</v>
      </c>
      <c r="N611" s="1">
        <f t="shared" si="68"/>
        <v>4678575</v>
      </c>
      <c r="O611" s="4">
        <f t="shared" si="64"/>
        <v>0.95463666235725064</v>
      </c>
      <c r="P611" s="4">
        <f t="shared" si="65"/>
        <v>25</v>
      </c>
      <c r="Q611" s="4">
        <f t="shared" si="66"/>
        <v>1.6323545735310441E-4</v>
      </c>
    </row>
    <row r="612" spans="1:17">
      <c r="A612" s="1" t="s">
        <v>269</v>
      </c>
      <c r="B612" s="1" t="s">
        <v>14</v>
      </c>
      <c r="C612" s="1" t="s">
        <v>21</v>
      </c>
      <c r="D612" s="1" t="s">
        <v>391</v>
      </c>
      <c r="E612" s="1">
        <v>7533</v>
      </c>
      <c r="F612" s="1">
        <v>116093</v>
      </c>
      <c r="G612" s="1">
        <f t="shared" si="63"/>
        <v>123626</v>
      </c>
      <c r="H612" s="1">
        <v>43943</v>
      </c>
      <c r="I612" s="1">
        <v>5</v>
      </c>
      <c r="J612" s="1">
        <v>99</v>
      </c>
      <c r="K612" s="1">
        <f t="shared" si="69"/>
        <v>4350357</v>
      </c>
      <c r="L612" s="1">
        <v>16</v>
      </c>
      <c r="M612" s="1">
        <f t="shared" si="67"/>
        <v>3647269</v>
      </c>
      <c r="N612" s="1">
        <f t="shared" si="68"/>
        <v>3523643</v>
      </c>
      <c r="O612" s="4">
        <f t="shared" si="64"/>
        <v>0.96610450175185869</v>
      </c>
      <c r="P612" s="4">
        <f t="shared" si="65"/>
        <v>19.277108433734941</v>
      </c>
      <c r="Q612" s="4">
        <f t="shared" si="66"/>
        <v>1.1493309629531554E-4</v>
      </c>
    </row>
    <row r="613" spans="1:17">
      <c r="A613" s="1" t="s">
        <v>270</v>
      </c>
      <c r="B613" s="1" t="s">
        <v>20</v>
      </c>
      <c r="C613" s="1" t="s">
        <v>15</v>
      </c>
      <c r="D613" s="1" t="s">
        <v>391</v>
      </c>
      <c r="E613" s="1">
        <v>29681</v>
      </c>
      <c r="F613" s="1">
        <v>96692</v>
      </c>
      <c r="G613" s="1">
        <f t="shared" si="63"/>
        <v>126373</v>
      </c>
      <c r="H613" s="1">
        <v>78155</v>
      </c>
      <c r="I613" s="1">
        <v>10</v>
      </c>
      <c r="J613" s="1">
        <v>28</v>
      </c>
      <c r="K613" s="1">
        <f t="shared" si="69"/>
        <v>2188340</v>
      </c>
      <c r="L613" s="1">
        <v>0</v>
      </c>
      <c r="M613" s="1">
        <f t="shared" si="67"/>
        <v>2188340</v>
      </c>
      <c r="N613" s="1">
        <f t="shared" si="68"/>
        <v>2061967</v>
      </c>
      <c r="O613" s="4">
        <f t="shared" si="64"/>
        <v>0.94225166107643232</v>
      </c>
      <c r="P613" s="4">
        <f t="shared" si="65"/>
        <v>0</v>
      </c>
      <c r="Q613" s="4">
        <f t="shared" si="66"/>
        <v>4.5696738166829654E-4</v>
      </c>
    </row>
    <row r="614" spans="1:17">
      <c r="A614" s="1" t="s">
        <v>271</v>
      </c>
      <c r="B614" s="1" t="s">
        <v>20</v>
      </c>
      <c r="C614" s="1" t="s">
        <v>21</v>
      </c>
      <c r="D614" s="1" t="s">
        <v>392</v>
      </c>
      <c r="E614" s="1">
        <v>5221</v>
      </c>
      <c r="F614" s="1">
        <v>320922</v>
      </c>
      <c r="G614" s="1">
        <f t="shared" si="63"/>
        <v>326143</v>
      </c>
      <c r="H614" s="1">
        <v>57111</v>
      </c>
      <c r="I614" s="1">
        <v>20</v>
      </c>
      <c r="J614" s="1">
        <v>147</v>
      </c>
      <c r="K614" s="1">
        <f t="shared" si="69"/>
        <v>8395317</v>
      </c>
      <c r="L614" s="1">
        <v>16</v>
      </c>
      <c r="M614" s="1">
        <f t="shared" si="67"/>
        <v>7481541</v>
      </c>
      <c r="N614" s="1">
        <f t="shared" si="68"/>
        <v>7155398</v>
      </c>
      <c r="O614" s="4">
        <f t="shared" si="64"/>
        <v>0.95640697551480369</v>
      </c>
      <c r="P614" s="4">
        <f t="shared" si="65"/>
        <v>12.213740458015266</v>
      </c>
      <c r="Q614" s="4">
        <f t="shared" si="66"/>
        <v>2.3822805023324315E-4</v>
      </c>
    </row>
    <row r="615" spans="1:17">
      <c r="A615" s="1" t="s">
        <v>272</v>
      </c>
      <c r="B615" s="1" t="s">
        <v>26</v>
      </c>
      <c r="C615" s="1" t="s">
        <v>15</v>
      </c>
      <c r="D615" s="1" t="s">
        <v>391</v>
      </c>
      <c r="E615" s="1">
        <v>5827</v>
      </c>
      <c r="F615" s="1">
        <v>354312</v>
      </c>
      <c r="G615" s="1">
        <f t="shared" si="63"/>
        <v>360139</v>
      </c>
      <c r="H615" s="1">
        <v>74085</v>
      </c>
      <c r="I615" s="1">
        <v>10</v>
      </c>
      <c r="J615" s="1">
        <v>19</v>
      </c>
      <c r="K615" s="1">
        <f t="shared" si="69"/>
        <v>1407615</v>
      </c>
      <c r="L615" s="1">
        <v>5</v>
      </c>
      <c r="M615" s="1">
        <f t="shared" si="67"/>
        <v>1037190</v>
      </c>
      <c r="N615" s="1">
        <f t="shared" si="68"/>
        <v>677051</v>
      </c>
      <c r="O615" s="4">
        <f t="shared" si="64"/>
        <v>0.65277432293022497</v>
      </c>
      <c r="P615" s="4">
        <f t="shared" si="65"/>
        <v>35.714285714285715</v>
      </c>
      <c r="Q615" s="4">
        <f t="shared" si="66"/>
        <v>7.1042152861400308E-4</v>
      </c>
    </row>
    <row r="616" spans="1:17">
      <c r="A616" s="1" t="s">
        <v>273</v>
      </c>
      <c r="B616" s="1" t="s">
        <v>17</v>
      </c>
      <c r="C616" s="1" t="s">
        <v>21</v>
      </c>
      <c r="D616" s="1" t="s">
        <v>391</v>
      </c>
      <c r="E616" s="1">
        <v>19979</v>
      </c>
      <c r="F616" s="1">
        <v>219398</v>
      </c>
      <c r="G616" s="1">
        <f t="shared" si="63"/>
        <v>239377</v>
      </c>
      <c r="H616" s="1">
        <v>25792</v>
      </c>
      <c r="I616" s="1">
        <v>10</v>
      </c>
      <c r="J616" s="1">
        <v>137</v>
      </c>
      <c r="K616" s="1">
        <f t="shared" si="69"/>
        <v>3533504</v>
      </c>
      <c r="L616" s="1">
        <v>5</v>
      </c>
      <c r="M616" s="1">
        <f t="shared" si="67"/>
        <v>3404544</v>
      </c>
      <c r="N616" s="1">
        <f t="shared" si="68"/>
        <v>3165167</v>
      </c>
      <c r="O616" s="4">
        <f t="shared" si="64"/>
        <v>0.92968896862546058</v>
      </c>
      <c r="P616" s="4">
        <f t="shared" si="65"/>
        <v>3.7878787878787881</v>
      </c>
      <c r="Q616" s="4">
        <f t="shared" si="66"/>
        <v>2.8300519823948127E-4</v>
      </c>
    </row>
    <row r="617" spans="1:17">
      <c r="A617" s="1" t="s">
        <v>274</v>
      </c>
      <c r="B617" s="1" t="s">
        <v>17</v>
      </c>
      <c r="C617" s="1" t="s">
        <v>21</v>
      </c>
      <c r="D617" s="1" t="s">
        <v>392</v>
      </c>
      <c r="E617" s="1">
        <v>12212</v>
      </c>
      <c r="F617" s="1">
        <v>73797</v>
      </c>
      <c r="G617" s="1">
        <f t="shared" si="63"/>
        <v>86009</v>
      </c>
      <c r="H617" s="1">
        <v>20290</v>
      </c>
      <c r="I617" s="1">
        <v>15</v>
      </c>
      <c r="J617" s="1">
        <v>137</v>
      </c>
      <c r="K617" s="1">
        <f t="shared" si="69"/>
        <v>2779730</v>
      </c>
      <c r="L617" s="1">
        <v>18</v>
      </c>
      <c r="M617" s="1">
        <f t="shared" si="67"/>
        <v>2414510</v>
      </c>
      <c r="N617" s="1">
        <f t="shared" si="68"/>
        <v>2328501</v>
      </c>
      <c r="O617" s="4">
        <f t="shared" si="64"/>
        <v>0.96437827965094369</v>
      </c>
      <c r="P617" s="4">
        <f t="shared" si="65"/>
        <v>15.126050420168067</v>
      </c>
      <c r="Q617" s="4">
        <f t="shared" si="66"/>
        <v>5.3962075453371371E-4</v>
      </c>
    </row>
    <row r="618" spans="1:17">
      <c r="A618" s="1" t="s">
        <v>275</v>
      </c>
      <c r="B618" s="1" t="s">
        <v>17</v>
      </c>
      <c r="C618" s="1" t="s">
        <v>29</v>
      </c>
      <c r="D618" s="1" t="s">
        <v>391</v>
      </c>
      <c r="E618" s="1">
        <v>14644</v>
      </c>
      <c r="F618" s="1">
        <v>290157</v>
      </c>
      <c r="G618" s="1">
        <f t="shared" si="63"/>
        <v>304801</v>
      </c>
      <c r="H618" s="1">
        <v>48159</v>
      </c>
      <c r="I618" s="1">
        <v>10</v>
      </c>
      <c r="J618" s="1">
        <v>97</v>
      </c>
      <c r="K618" s="1">
        <f t="shared" si="69"/>
        <v>4671423</v>
      </c>
      <c r="L618" s="1">
        <v>18</v>
      </c>
      <c r="M618" s="1">
        <f t="shared" si="67"/>
        <v>3804561</v>
      </c>
      <c r="N618" s="1">
        <f t="shared" si="68"/>
        <v>3499760</v>
      </c>
      <c r="O618" s="4">
        <f t="shared" si="64"/>
        <v>0.91988536916611408</v>
      </c>
      <c r="P618" s="4">
        <f t="shared" si="65"/>
        <v>22.784810126582279</v>
      </c>
      <c r="Q618" s="4">
        <f t="shared" si="66"/>
        <v>2.1406753359736423E-4</v>
      </c>
    </row>
    <row r="619" spans="1:17">
      <c r="A619" s="1" t="s">
        <v>276</v>
      </c>
      <c r="B619" s="1" t="s">
        <v>17</v>
      </c>
      <c r="C619" s="1" t="s">
        <v>29</v>
      </c>
      <c r="D619" s="1" t="s">
        <v>391</v>
      </c>
      <c r="E619" s="1">
        <v>14552</v>
      </c>
      <c r="F619" s="1">
        <v>212695</v>
      </c>
      <c r="G619" s="1">
        <f t="shared" si="63"/>
        <v>227247</v>
      </c>
      <c r="H619" s="1">
        <v>40742</v>
      </c>
      <c r="I619" s="1">
        <v>10</v>
      </c>
      <c r="J619" s="1">
        <v>105</v>
      </c>
      <c r="K619" s="1">
        <f t="shared" si="69"/>
        <v>4277910</v>
      </c>
      <c r="L619" s="1">
        <v>38</v>
      </c>
      <c r="M619" s="1">
        <f t="shared" si="67"/>
        <v>2729714</v>
      </c>
      <c r="N619" s="1">
        <f t="shared" si="68"/>
        <v>2502467</v>
      </c>
      <c r="O619" s="4">
        <f t="shared" si="64"/>
        <v>0.91675061929564783</v>
      </c>
      <c r="P619" s="4">
        <f t="shared" si="65"/>
        <v>56.71641791044776</v>
      </c>
      <c r="Q619" s="4">
        <f t="shared" si="66"/>
        <v>2.3375900848778962E-4</v>
      </c>
    </row>
    <row r="620" spans="1:17">
      <c r="A620" s="1" t="s">
        <v>277</v>
      </c>
      <c r="B620" s="1" t="s">
        <v>17</v>
      </c>
      <c r="C620" s="1" t="s">
        <v>21</v>
      </c>
      <c r="D620" s="1" t="s">
        <v>392</v>
      </c>
      <c r="E620" s="1">
        <v>7799</v>
      </c>
      <c r="F620" s="1">
        <v>382566</v>
      </c>
      <c r="G620" s="1">
        <f t="shared" si="63"/>
        <v>390365</v>
      </c>
      <c r="H620" s="1">
        <v>51916</v>
      </c>
      <c r="I620" s="1">
        <v>0</v>
      </c>
      <c r="J620" s="1">
        <v>80</v>
      </c>
      <c r="K620" s="1">
        <f t="shared" si="69"/>
        <v>4153280</v>
      </c>
      <c r="L620" s="1">
        <v>40</v>
      </c>
      <c r="M620" s="1">
        <f t="shared" si="67"/>
        <v>2076640</v>
      </c>
      <c r="N620" s="1">
        <f t="shared" si="68"/>
        <v>1686275</v>
      </c>
      <c r="O620" s="4">
        <f t="shared" si="64"/>
        <v>0.8120208606210032</v>
      </c>
      <c r="P620" s="4">
        <f t="shared" si="65"/>
        <v>100</v>
      </c>
      <c r="Q620" s="4">
        <f t="shared" si="66"/>
        <v>0</v>
      </c>
    </row>
    <row r="621" spans="1:17">
      <c r="A621" s="1" t="s">
        <v>278</v>
      </c>
      <c r="B621" s="1" t="s">
        <v>17</v>
      </c>
      <c r="C621" s="1" t="s">
        <v>21</v>
      </c>
      <c r="D621" s="1" t="s">
        <v>391</v>
      </c>
      <c r="E621" s="1">
        <v>25237</v>
      </c>
      <c r="F621" s="1">
        <v>133318</v>
      </c>
      <c r="G621" s="1">
        <f t="shared" si="63"/>
        <v>158555</v>
      </c>
      <c r="H621" s="1">
        <v>54344</v>
      </c>
      <c r="I621" s="1">
        <v>15</v>
      </c>
      <c r="J621" s="1">
        <v>139</v>
      </c>
      <c r="K621" s="1">
        <f t="shared" si="69"/>
        <v>7553816</v>
      </c>
      <c r="L621" s="1">
        <v>17</v>
      </c>
      <c r="M621" s="1">
        <f t="shared" si="67"/>
        <v>6629968</v>
      </c>
      <c r="N621" s="1">
        <f t="shared" si="68"/>
        <v>6471413</v>
      </c>
      <c r="O621" s="4">
        <f t="shared" si="64"/>
        <v>0.97608510327651654</v>
      </c>
      <c r="P621" s="4">
        <f t="shared" si="65"/>
        <v>13.934426229508196</v>
      </c>
      <c r="Q621" s="4">
        <f t="shared" si="66"/>
        <v>1.9857513076834278E-4</v>
      </c>
    </row>
    <row r="622" spans="1:17">
      <c r="A622" s="1" t="s">
        <v>279</v>
      </c>
      <c r="B622" s="1" t="s">
        <v>17</v>
      </c>
      <c r="C622" s="1" t="s">
        <v>29</v>
      </c>
      <c r="D622" s="1" t="s">
        <v>391</v>
      </c>
      <c r="E622" s="1">
        <v>30583</v>
      </c>
      <c r="F622" s="1">
        <v>156878</v>
      </c>
      <c r="G622" s="1">
        <f t="shared" si="63"/>
        <v>187461</v>
      </c>
      <c r="H622" s="1">
        <v>73026</v>
      </c>
      <c r="I622" s="1">
        <v>20</v>
      </c>
      <c r="J622" s="1">
        <v>61</v>
      </c>
      <c r="K622" s="1">
        <f t="shared" si="69"/>
        <v>4454586</v>
      </c>
      <c r="L622" s="1">
        <v>14</v>
      </c>
      <c r="M622" s="1">
        <f t="shared" si="67"/>
        <v>3432222</v>
      </c>
      <c r="N622" s="1">
        <f t="shared" si="68"/>
        <v>3244761</v>
      </c>
      <c r="O622" s="4">
        <f t="shared" si="64"/>
        <v>0.94538202948410677</v>
      </c>
      <c r="P622" s="4">
        <f t="shared" si="65"/>
        <v>29.787234042553191</v>
      </c>
      <c r="Q622" s="4">
        <f t="shared" si="66"/>
        <v>4.4897550524336044E-4</v>
      </c>
    </row>
    <row r="623" spans="1:17">
      <c r="A623" s="1" t="s">
        <v>280</v>
      </c>
      <c r="B623" s="1" t="s">
        <v>26</v>
      </c>
      <c r="C623" s="1" t="s">
        <v>15</v>
      </c>
      <c r="D623" s="1" t="s">
        <v>391</v>
      </c>
      <c r="E623" s="1">
        <v>33074</v>
      </c>
      <c r="F623" s="1">
        <v>287228</v>
      </c>
      <c r="G623" s="1">
        <f t="shared" si="63"/>
        <v>320302</v>
      </c>
      <c r="H623" s="1">
        <v>16718</v>
      </c>
      <c r="I623" s="1">
        <v>15</v>
      </c>
      <c r="J623" s="1">
        <v>136</v>
      </c>
      <c r="K623" s="1">
        <f t="shared" si="69"/>
        <v>2273648</v>
      </c>
      <c r="L623" s="1">
        <v>10</v>
      </c>
      <c r="M623" s="1">
        <f t="shared" si="67"/>
        <v>2106468</v>
      </c>
      <c r="N623" s="1">
        <f t="shared" si="68"/>
        <v>1786166</v>
      </c>
      <c r="O623" s="4">
        <f t="shared" si="64"/>
        <v>0.8479435718938052</v>
      </c>
      <c r="P623" s="4">
        <f t="shared" si="65"/>
        <v>7.9365079365079358</v>
      </c>
      <c r="Q623" s="4">
        <f t="shared" si="66"/>
        <v>6.5973272907679644E-4</v>
      </c>
    </row>
    <row r="624" spans="1:17">
      <c r="A624" s="1" t="s">
        <v>281</v>
      </c>
      <c r="B624" s="1" t="s">
        <v>14</v>
      </c>
      <c r="C624" s="1" t="s">
        <v>21</v>
      </c>
      <c r="D624" s="1" t="s">
        <v>392</v>
      </c>
      <c r="E624" s="1">
        <v>48248</v>
      </c>
      <c r="F624" s="1">
        <v>77740</v>
      </c>
      <c r="G624" s="1">
        <f t="shared" si="63"/>
        <v>125988</v>
      </c>
      <c r="H624" s="1">
        <v>45742</v>
      </c>
      <c r="I624" s="1">
        <v>0</v>
      </c>
      <c r="J624" s="1">
        <v>73</v>
      </c>
      <c r="K624" s="1">
        <f t="shared" si="69"/>
        <v>3339166</v>
      </c>
      <c r="L624" s="1">
        <v>27</v>
      </c>
      <c r="M624" s="1">
        <f t="shared" si="67"/>
        <v>2104132</v>
      </c>
      <c r="N624" s="1">
        <f t="shared" si="68"/>
        <v>1978144</v>
      </c>
      <c r="O624" s="4">
        <f t="shared" si="64"/>
        <v>0.94012352837179414</v>
      </c>
      <c r="P624" s="4">
        <f t="shared" si="65"/>
        <v>58.695652173913047</v>
      </c>
      <c r="Q624" s="4">
        <f t="shared" si="66"/>
        <v>0</v>
      </c>
    </row>
    <row r="625" spans="1:17">
      <c r="A625" s="1" t="s">
        <v>282</v>
      </c>
      <c r="B625" s="1" t="s">
        <v>17</v>
      </c>
      <c r="C625" s="1" t="s">
        <v>29</v>
      </c>
      <c r="D625" s="1" t="s">
        <v>391</v>
      </c>
      <c r="E625" s="1">
        <v>31149</v>
      </c>
      <c r="F625" s="1">
        <v>392926</v>
      </c>
      <c r="G625" s="1">
        <f t="shared" si="63"/>
        <v>424075</v>
      </c>
      <c r="H625" s="1">
        <v>33684</v>
      </c>
      <c r="I625" s="1">
        <v>5</v>
      </c>
      <c r="J625" s="1">
        <v>24</v>
      </c>
      <c r="K625" s="1">
        <f t="shared" si="69"/>
        <v>808416</v>
      </c>
      <c r="L625" s="1">
        <v>15</v>
      </c>
      <c r="M625" s="1">
        <f t="shared" si="67"/>
        <v>303156</v>
      </c>
      <c r="N625" s="1">
        <f t="shared" si="68"/>
        <v>-120919</v>
      </c>
      <c r="O625" s="4">
        <f t="shared" si="64"/>
        <v>-0.39886724986475608</v>
      </c>
      <c r="P625" s="4">
        <f t="shared" si="65"/>
        <v>166.66666666666669</v>
      </c>
      <c r="Q625" s="4">
        <f t="shared" si="66"/>
        <v>6.1849344891738906E-4</v>
      </c>
    </row>
    <row r="626" spans="1:17">
      <c r="A626" s="1" t="s">
        <v>283</v>
      </c>
      <c r="B626" s="1" t="s">
        <v>26</v>
      </c>
      <c r="C626" s="1" t="s">
        <v>29</v>
      </c>
      <c r="D626" s="1" t="s">
        <v>391</v>
      </c>
      <c r="E626" s="1">
        <v>7337</v>
      </c>
      <c r="F626" s="1">
        <v>322421</v>
      </c>
      <c r="G626" s="1">
        <f t="shared" si="63"/>
        <v>329758</v>
      </c>
      <c r="H626" s="1">
        <v>63185</v>
      </c>
      <c r="I626" s="1">
        <v>15</v>
      </c>
      <c r="J626" s="1">
        <v>41</v>
      </c>
      <c r="K626" s="1">
        <f t="shared" si="69"/>
        <v>2590585</v>
      </c>
      <c r="L626" s="1">
        <v>12</v>
      </c>
      <c r="M626" s="1">
        <f t="shared" si="67"/>
        <v>1832365</v>
      </c>
      <c r="N626" s="1">
        <f t="shared" si="68"/>
        <v>1502607</v>
      </c>
      <c r="O626" s="4">
        <f t="shared" si="64"/>
        <v>0.82003694678734862</v>
      </c>
      <c r="P626" s="4">
        <f t="shared" si="65"/>
        <v>41.379310344827587</v>
      </c>
      <c r="Q626" s="4">
        <f t="shared" si="66"/>
        <v>5.7901979668684871E-4</v>
      </c>
    </row>
    <row r="627" spans="1:17">
      <c r="A627" s="1" t="s">
        <v>284</v>
      </c>
      <c r="B627" s="1" t="s">
        <v>14</v>
      </c>
      <c r="C627" s="1" t="s">
        <v>18</v>
      </c>
      <c r="D627" s="1" t="s">
        <v>392</v>
      </c>
      <c r="E627" s="1">
        <v>33452</v>
      </c>
      <c r="F627" s="1">
        <v>195337</v>
      </c>
      <c r="G627" s="1">
        <f t="shared" si="63"/>
        <v>228789</v>
      </c>
      <c r="H627" s="1">
        <v>11062</v>
      </c>
      <c r="I627" s="1">
        <v>15</v>
      </c>
      <c r="J627" s="1">
        <v>102</v>
      </c>
      <c r="K627" s="1">
        <f t="shared" si="69"/>
        <v>1128324</v>
      </c>
      <c r="L627" s="1">
        <v>61</v>
      </c>
      <c r="M627" s="1">
        <f t="shared" si="67"/>
        <v>453542</v>
      </c>
      <c r="N627" s="1">
        <f t="shared" si="68"/>
        <v>224753</v>
      </c>
      <c r="O627" s="4">
        <f t="shared" si="64"/>
        <v>0.4955505774547892</v>
      </c>
      <c r="P627" s="4">
        <f t="shared" si="65"/>
        <v>148.78048780487805</v>
      </c>
      <c r="Q627" s="4">
        <f t="shared" si="66"/>
        <v>1.3294053835600412E-3</v>
      </c>
    </row>
    <row r="628" spans="1:17">
      <c r="A628" s="1" t="s">
        <v>285</v>
      </c>
      <c r="B628" s="1" t="s">
        <v>14</v>
      </c>
      <c r="C628" s="1" t="s">
        <v>21</v>
      </c>
      <c r="D628" s="1" t="s">
        <v>392</v>
      </c>
      <c r="E628" s="1">
        <v>35010</v>
      </c>
      <c r="F628" s="1">
        <v>309661</v>
      </c>
      <c r="G628" s="1">
        <f t="shared" si="63"/>
        <v>344671</v>
      </c>
      <c r="H628" s="1">
        <v>79498</v>
      </c>
      <c r="I628" s="1">
        <v>0</v>
      </c>
      <c r="J628" s="1">
        <v>90</v>
      </c>
      <c r="K628" s="1">
        <f t="shared" si="69"/>
        <v>7154820</v>
      </c>
      <c r="L628" s="1">
        <v>24</v>
      </c>
      <c r="M628" s="1">
        <f t="shared" si="67"/>
        <v>5246868</v>
      </c>
      <c r="N628" s="1">
        <f t="shared" si="68"/>
        <v>4902197</v>
      </c>
      <c r="O628" s="4">
        <f t="shared" si="64"/>
        <v>0.93430919169302529</v>
      </c>
      <c r="P628" s="4">
        <f t="shared" si="65"/>
        <v>36.363636363636367</v>
      </c>
      <c r="Q628" s="4">
        <f t="shared" si="66"/>
        <v>0</v>
      </c>
    </row>
    <row r="629" spans="1:17">
      <c r="A629" s="1" t="s">
        <v>286</v>
      </c>
      <c r="B629" s="1" t="s">
        <v>26</v>
      </c>
      <c r="C629" s="1" t="s">
        <v>15</v>
      </c>
      <c r="D629" s="1" t="s">
        <v>391</v>
      </c>
      <c r="E629" s="1">
        <v>13685</v>
      </c>
      <c r="F629" s="1">
        <v>133532</v>
      </c>
      <c r="G629" s="1">
        <f t="shared" si="63"/>
        <v>147217</v>
      </c>
      <c r="H629" s="1">
        <v>77600</v>
      </c>
      <c r="I629" s="1">
        <v>20</v>
      </c>
      <c r="J629" s="1">
        <v>33</v>
      </c>
      <c r="K629" s="1">
        <f t="shared" si="69"/>
        <v>2560800</v>
      </c>
      <c r="L629" s="1">
        <v>36</v>
      </c>
      <c r="M629" s="1">
        <f t="shared" si="67"/>
        <v>-232800</v>
      </c>
      <c r="N629" s="1">
        <f t="shared" si="68"/>
        <v>-380017</v>
      </c>
      <c r="O629" s="4">
        <f t="shared" si="64"/>
        <v>-1.6323754295532646</v>
      </c>
      <c r="P629" s="4">
        <f t="shared" si="65"/>
        <v>-1200</v>
      </c>
      <c r="Q629" s="4">
        <f t="shared" si="66"/>
        <v>7.8100593564511096E-4</v>
      </c>
    </row>
    <row r="630" spans="1:17">
      <c r="A630" s="1" t="s">
        <v>287</v>
      </c>
      <c r="B630" s="1" t="s">
        <v>20</v>
      </c>
      <c r="C630" s="1" t="s">
        <v>18</v>
      </c>
      <c r="D630" s="1" t="s">
        <v>392</v>
      </c>
      <c r="E630" s="1">
        <v>18112</v>
      </c>
      <c r="F630" s="1">
        <v>158262</v>
      </c>
      <c r="G630" s="1">
        <f t="shared" si="63"/>
        <v>176374</v>
      </c>
      <c r="H630" s="1">
        <v>35685</v>
      </c>
      <c r="I630" s="1">
        <v>5</v>
      </c>
      <c r="J630" s="1">
        <v>30</v>
      </c>
      <c r="K630" s="1">
        <f t="shared" si="69"/>
        <v>1070550</v>
      </c>
      <c r="L630" s="1">
        <v>24</v>
      </c>
      <c r="M630" s="1">
        <f t="shared" si="67"/>
        <v>214110</v>
      </c>
      <c r="N630" s="1">
        <f t="shared" si="68"/>
        <v>37736</v>
      </c>
      <c r="O630" s="4">
        <f t="shared" si="64"/>
        <v>0.17624585493437953</v>
      </c>
      <c r="P630" s="4">
        <f t="shared" si="65"/>
        <v>400</v>
      </c>
      <c r="Q630" s="4">
        <f t="shared" si="66"/>
        <v>4.6704964737751621E-4</v>
      </c>
    </row>
    <row r="631" spans="1:17">
      <c r="A631" s="1" t="s">
        <v>288</v>
      </c>
      <c r="B631" s="1" t="s">
        <v>17</v>
      </c>
      <c r="C631" s="1" t="s">
        <v>29</v>
      </c>
      <c r="D631" s="1" t="s">
        <v>392</v>
      </c>
      <c r="E631" s="1">
        <v>42798</v>
      </c>
      <c r="F631" s="1">
        <v>195304</v>
      </c>
      <c r="G631" s="1">
        <f t="shared" si="63"/>
        <v>238102</v>
      </c>
      <c r="H631" s="1">
        <v>62401</v>
      </c>
      <c r="I631" s="1">
        <v>15</v>
      </c>
      <c r="J631" s="1">
        <v>82</v>
      </c>
      <c r="K631" s="1">
        <f t="shared" si="69"/>
        <v>5116882</v>
      </c>
      <c r="L631" s="1">
        <v>14</v>
      </c>
      <c r="M631" s="1">
        <f t="shared" si="67"/>
        <v>4243268</v>
      </c>
      <c r="N631" s="1">
        <f t="shared" si="68"/>
        <v>4005166</v>
      </c>
      <c r="O631" s="4">
        <f t="shared" si="64"/>
        <v>0.94388711719363472</v>
      </c>
      <c r="P631" s="4">
        <f t="shared" si="65"/>
        <v>20.588235294117645</v>
      </c>
      <c r="Q631" s="4">
        <f t="shared" si="66"/>
        <v>2.9314727210828784E-4</v>
      </c>
    </row>
    <row r="632" spans="1:17">
      <c r="A632" s="1" t="s">
        <v>289</v>
      </c>
      <c r="B632" s="1" t="s">
        <v>17</v>
      </c>
      <c r="C632" s="1" t="s">
        <v>15</v>
      </c>
      <c r="D632" s="1" t="s">
        <v>391</v>
      </c>
      <c r="E632" s="1">
        <v>14452</v>
      </c>
      <c r="F632" s="1">
        <v>343341</v>
      </c>
      <c r="G632" s="1">
        <f t="shared" si="63"/>
        <v>357793</v>
      </c>
      <c r="H632" s="1">
        <v>78978</v>
      </c>
      <c r="I632" s="1">
        <v>5</v>
      </c>
      <c r="J632" s="1">
        <v>97</v>
      </c>
      <c r="K632" s="1">
        <f t="shared" si="69"/>
        <v>7660866</v>
      </c>
      <c r="L632" s="1">
        <v>35</v>
      </c>
      <c r="M632" s="1">
        <f t="shared" si="67"/>
        <v>4896636</v>
      </c>
      <c r="N632" s="1">
        <f t="shared" si="68"/>
        <v>4538843</v>
      </c>
      <c r="O632" s="4">
        <f t="shared" si="64"/>
        <v>0.92693085620413684</v>
      </c>
      <c r="P632" s="4">
        <f t="shared" si="65"/>
        <v>56.451612903225815</v>
      </c>
      <c r="Q632" s="4">
        <f t="shared" si="66"/>
        <v>6.5266772712118976E-5</v>
      </c>
    </row>
    <row r="633" spans="1:17">
      <c r="A633" s="1" t="s">
        <v>290</v>
      </c>
      <c r="B633" s="1" t="s">
        <v>17</v>
      </c>
      <c r="C633" s="1" t="s">
        <v>18</v>
      </c>
      <c r="D633" s="1" t="s">
        <v>392</v>
      </c>
      <c r="E633" s="1">
        <v>6027</v>
      </c>
      <c r="F633" s="1">
        <v>209666</v>
      </c>
      <c r="G633" s="1">
        <f t="shared" si="63"/>
        <v>215693</v>
      </c>
      <c r="H633" s="1">
        <v>24957</v>
      </c>
      <c r="I633" s="1">
        <v>15</v>
      </c>
      <c r="J633" s="1">
        <v>72</v>
      </c>
      <c r="K633" s="1">
        <f t="shared" si="69"/>
        <v>1796904</v>
      </c>
      <c r="L633" s="1">
        <v>16</v>
      </c>
      <c r="M633" s="1">
        <f t="shared" si="67"/>
        <v>1397592</v>
      </c>
      <c r="N633" s="1">
        <f t="shared" si="68"/>
        <v>1181899</v>
      </c>
      <c r="O633" s="4">
        <f t="shared" si="64"/>
        <v>0.8456681205959965</v>
      </c>
      <c r="P633" s="4">
        <f t="shared" si="65"/>
        <v>28.571428571428569</v>
      </c>
      <c r="Q633" s="4">
        <f t="shared" si="66"/>
        <v>8.3476913624767923E-4</v>
      </c>
    </row>
    <row r="634" spans="1:17">
      <c r="A634" s="1" t="s">
        <v>291</v>
      </c>
      <c r="B634" s="1" t="s">
        <v>26</v>
      </c>
      <c r="C634" s="1" t="s">
        <v>29</v>
      </c>
      <c r="D634" s="1" t="s">
        <v>391</v>
      </c>
      <c r="E634" s="1">
        <v>30667</v>
      </c>
      <c r="F634" s="1">
        <v>110777</v>
      </c>
      <c r="G634" s="1">
        <f t="shared" si="63"/>
        <v>141444</v>
      </c>
      <c r="H634" s="1">
        <v>13947</v>
      </c>
      <c r="I634" s="1">
        <v>10</v>
      </c>
      <c r="J634" s="1">
        <v>119</v>
      </c>
      <c r="K634" s="1">
        <f t="shared" si="69"/>
        <v>1659693</v>
      </c>
      <c r="L634" s="1">
        <v>17</v>
      </c>
      <c r="M634" s="1">
        <f t="shared" si="67"/>
        <v>1422594</v>
      </c>
      <c r="N634" s="1">
        <f t="shared" si="68"/>
        <v>1281150</v>
      </c>
      <c r="O634" s="4">
        <f t="shared" si="64"/>
        <v>0.90057317829261196</v>
      </c>
      <c r="P634" s="4">
        <f t="shared" si="65"/>
        <v>16.666666666666664</v>
      </c>
      <c r="Q634" s="4">
        <f t="shared" si="66"/>
        <v>6.0252106865546821E-4</v>
      </c>
    </row>
    <row r="635" spans="1:17">
      <c r="A635" s="1" t="s">
        <v>292</v>
      </c>
      <c r="B635" s="1" t="s">
        <v>17</v>
      </c>
      <c r="C635" s="1" t="s">
        <v>21</v>
      </c>
      <c r="D635" s="1" t="s">
        <v>391</v>
      </c>
      <c r="E635" s="1">
        <v>41168</v>
      </c>
      <c r="F635" s="1">
        <v>97848</v>
      </c>
      <c r="G635" s="1">
        <f t="shared" si="63"/>
        <v>139016</v>
      </c>
      <c r="H635" s="1">
        <v>34504</v>
      </c>
      <c r="I635" s="1">
        <v>0</v>
      </c>
      <c r="J635" s="1">
        <v>39</v>
      </c>
      <c r="K635" s="1">
        <f t="shared" si="69"/>
        <v>1345656</v>
      </c>
      <c r="L635" s="1">
        <v>40</v>
      </c>
      <c r="M635" s="1">
        <f t="shared" si="67"/>
        <v>-34504</v>
      </c>
      <c r="N635" s="1">
        <f t="shared" si="68"/>
        <v>-173520</v>
      </c>
      <c r="O635" s="4">
        <f t="shared" si="64"/>
        <v>-5.0289821469974498</v>
      </c>
      <c r="P635" s="4">
        <f t="shared" si="65"/>
        <v>-4000</v>
      </c>
      <c r="Q635" s="4">
        <f t="shared" si="66"/>
        <v>0</v>
      </c>
    </row>
    <row r="636" spans="1:17">
      <c r="A636" s="1" t="s">
        <v>293</v>
      </c>
      <c r="B636" s="1" t="s">
        <v>26</v>
      </c>
      <c r="C636" s="1" t="s">
        <v>21</v>
      </c>
      <c r="D636" s="1" t="s">
        <v>392</v>
      </c>
      <c r="E636" s="1">
        <v>14413</v>
      </c>
      <c r="F636" s="1">
        <v>339964</v>
      </c>
      <c r="G636" s="1">
        <f t="shared" si="63"/>
        <v>354377</v>
      </c>
      <c r="H636" s="1">
        <v>80982</v>
      </c>
      <c r="I636" s="1">
        <v>5</v>
      </c>
      <c r="J636" s="1">
        <v>92</v>
      </c>
      <c r="K636" s="1">
        <f t="shared" si="69"/>
        <v>7450344</v>
      </c>
      <c r="L636" s="1">
        <v>26</v>
      </c>
      <c r="M636" s="1">
        <f t="shared" si="67"/>
        <v>5344812</v>
      </c>
      <c r="N636" s="1">
        <f t="shared" si="68"/>
        <v>4990435</v>
      </c>
      <c r="O636" s="4">
        <f t="shared" si="64"/>
        <v>0.93369701310354791</v>
      </c>
      <c r="P636" s="4">
        <f t="shared" si="65"/>
        <v>39.393939393939391</v>
      </c>
      <c r="Q636" s="4">
        <f t="shared" si="66"/>
        <v>6.7110995143311505E-5</v>
      </c>
    </row>
    <row r="637" spans="1:17">
      <c r="A637" s="1" t="s">
        <v>294</v>
      </c>
      <c r="B637" s="1" t="s">
        <v>26</v>
      </c>
      <c r="C637" s="1" t="s">
        <v>29</v>
      </c>
      <c r="D637" s="1" t="s">
        <v>391</v>
      </c>
      <c r="E637" s="1">
        <v>6905</v>
      </c>
      <c r="F637" s="1">
        <v>117062</v>
      </c>
      <c r="G637" s="1">
        <f t="shared" si="63"/>
        <v>123967</v>
      </c>
      <c r="H637" s="1">
        <v>56863</v>
      </c>
      <c r="I637" s="1">
        <v>15</v>
      </c>
      <c r="J637" s="1">
        <v>106</v>
      </c>
      <c r="K637" s="1">
        <f t="shared" si="69"/>
        <v>6027478</v>
      </c>
      <c r="L637" s="1">
        <v>35</v>
      </c>
      <c r="M637" s="1">
        <f t="shared" si="67"/>
        <v>4037273</v>
      </c>
      <c r="N637" s="1">
        <f t="shared" si="68"/>
        <v>3913306</v>
      </c>
      <c r="O637" s="4">
        <f t="shared" si="64"/>
        <v>0.96929437271148122</v>
      </c>
      <c r="P637" s="4">
        <f t="shared" si="65"/>
        <v>49.295774647887328</v>
      </c>
      <c r="Q637" s="4">
        <f t="shared" si="66"/>
        <v>2.4886030276676251E-4</v>
      </c>
    </row>
    <row r="638" spans="1:17">
      <c r="A638" s="1" t="s">
        <v>295</v>
      </c>
      <c r="B638" s="1" t="s">
        <v>20</v>
      </c>
      <c r="C638" s="1" t="s">
        <v>15</v>
      </c>
      <c r="D638" s="1" t="s">
        <v>391</v>
      </c>
      <c r="E638" s="1">
        <v>46070</v>
      </c>
      <c r="F638" s="1">
        <v>253519</v>
      </c>
      <c r="G638" s="1">
        <f t="shared" si="63"/>
        <v>299589</v>
      </c>
      <c r="H638" s="1">
        <v>13056</v>
      </c>
      <c r="I638" s="1">
        <v>5</v>
      </c>
      <c r="J638" s="1">
        <v>113</v>
      </c>
      <c r="K638" s="1">
        <f t="shared" si="69"/>
        <v>1475328</v>
      </c>
      <c r="L638" s="1">
        <v>38</v>
      </c>
      <c r="M638" s="1">
        <f t="shared" si="67"/>
        <v>979200</v>
      </c>
      <c r="N638" s="1">
        <f t="shared" si="68"/>
        <v>679611</v>
      </c>
      <c r="O638" s="4">
        <f t="shared" si="64"/>
        <v>0.69404718137254906</v>
      </c>
      <c r="P638" s="4">
        <f t="shared" si="65"/>
        <v>50.666666666666671</v>
      </c>
      <c r="Q638" s="4">
        <f t="shared" si="66"/>
        <v>3.3890768696859274E-4</v>
      </c>
    </row>
    <row r="639" spans="1:17">
      <c r="A639" s="1" t="s">
        <v>296</v>
      </c>
      <c r="B639" s="1" t="s">
        <v>20</v>
      </c>
      <c r="C639" s="1" t="s">
        <v>18</v>
      </c>
      <c r="D639" s="1" t="s">
        <v>391</v>
      </c>
      <c r="E639" s="1">
        <v>27671</v>
      </c>
      <c r="F639" s="1">
        <v>133914</v>
      </c>
      <c r="G639" s="1">
        <f t="shared" si="63"/>
        <v>161585</v>
      </c>
      <c r="H639" s="1">
        <v>82266</v>
      </c>
      <c r="I639" s="1">
        <v>10</v>
      </c>
      <c r="J639" s="1">
        <v>78</v>
      </c>
      <c r="K639" s="1">
        <f t="shared" si="69"/>
        <v>6416748</v>
      </c>
      <c r="L639" s="1">
        <v>38</v>
      </c>
      <c r="M639" s="1">
        <f t="shared" si="67"/>
        <v>3290640</v>
      </c>
      <c r="N639" s="1">
        <f t="shared" si="68"/>
        <v>3129055</v>
      </c>
      <c r="O639" s="4">
        <f t="shared" si="64"/>
        <v>0.95089557046653539</v>
      </c>
      <c r="P639" s="4">
        <f t="shared" si="65"/>
        <v>95</v>
      </c>
      <c r="Q639" s="4">
        <f t="shared" si="66"/>
        <v>1.5584218049391997E-4</v>
      </c>
    </row>
    <row r="640" spans="1:17">
      <c r="A640" s="1" t="s">
        <v>297</v>
      </c>
      <c r="B640" s="1" t="s">
        <v>26</v>
      </c>
      <c r="C640" s="1" t="s">
        <v>18</v>
      </c>
      <c r="D640" s="1" t="s">
        <v>392</v>
      </c>
      <c r="E640" s="1">
        <v>7797</v>
      </c>
      <c r="F640" s="1">
        <v>111585</v>
      </c>
      <c r="G640" s="1">
        <f t="shared" si="63"/>
        <v>119382</v>
      </c>
      <c r="H640" s="1">
        <v>54724</v>
      </c>
      <c r="I640" s="1">
        <v>20</v>
      </c>
      <c r="J640" s="1">
        <v>47</v>
      </c>
      <c r="K640" s="1">
        <f t="shared" si="69"/>
        <v>2572028</v>
      </c>
      <c r="L640" s="1">
        <v>38</v>
      </c>
      <c r="M640" s="1">
        <f t="shared" si="67"/>
        <v>492516</v>
      </c>
      <c r="N640" s="1">
        <f t="shared" si="68"/>
        <v>373134</v>
      </c>
      <c r="O640" s="4">
        <f t="shared" si="64"/>
        <v>0.75760787466803103</v>
      </c>
      <c r="P640" s="4">
        <f t="shared" si="65"/>
        <v>422.22222222222223</v>
      </c>
      <c r="Q640" s="4">
        <f t="shared" si="66"/>
        <v>7.7759651139101132E-4</v>
      </c>
    </row>
    <row r="641" spans="1:17">
      <c r="A641" s="1" t="s">
        <v>298</v>
      </c>
      <c r="B641" s="1" t="s">
        <v>14</v>
      </c>
      <c r="C641" s="1" t="s">
        <v>18</v>
      </c>
      <c r="D641" s="1" t="s">
        <v>392</v>
      </c>
      <c r="E641" s="1">
        <v>14761</v>
      </c>
      <c r="F641" s="1">
        <v>95877</v>
      </c>
      <c r="G641" s="1">
        <f t="shared" si="63"/>
        <v>110638</v>
      </c>
      <c r="H641" s="1">
        <v>43281</v>
      </c>
      <c r="I641" s="1">
        <v>5</v>
      </c>
      <c r="J641" s="1">
        <v>126</v>
      </c>
      <c r="K641" s="1">
        <f t="shared" si="69"/>
        <v>5453406</v>
      </c>
      <c r="L641" s="1">
        <v>72</v>
      </c>
      <c r="M641" s="1">
        <f t="shared" si="67"/>
        <v>2337174</v>
      </c>
      <c r="N641" s="1">
        <f t="shared" si="68"/>
        <v>2226536</v>
      </c>
      <c r="O641" s="4">
        <f t="shared" si="64"/>
        <v>0.95266163323740549</v>
      </c>
      <c r="P641" s="4">
        <f t="shared" si="65"/>
        <v>133.33333333333331</v>
      </c>
      <c r="Q641" s="4">
        <f t="shared" si="66"/>
        <v>9.168581983443008E-5</v>
      </c>
    </row>
    <row r="642" spans="1:17">
      <c r="A642" s="1" t="s">
        <v>299</v>
      </c>
      <c r="B642" s="1" t="s">
        <v>20</v>
      </c>
      <c r="C642" s="1" t="s">
        <v>15</v>
      </c>
      <c r="D642" s="1" t="s">
        <v>391</v>
      </c>
      <c r="E642" s="1">
        <v>19978</v>
      </c>
      <c r="F642" s="1">
        <v>302316</v>
      </c>
      <c r="G642" s="1">
        <f t="shared" si="63"/>
        <v>322294</v>
      </c>
      <c r="H642" s="1">
        <v>32916</v>
      </c>
      <c r="I642" s="1">
        <v>5</v>
      </c>
      <c r="J642" s="1">
        <v>21</v>
      </c>
      <c r="K642" s="1">
        <f t="shared" si="69"/>
        <v>691236</v>
      </c>
      <c r="L642" s="1">
        <v>19</v>
      </c>
      <c r="M642" s="1">
        <f t="shared" si="67"/>
        <v>65832</v>
      </c>
      <c r="N642" s="1">
        <f t="shared" si="68"/>
        <v>-256462</v>
      </c>
      <c r="O642" s="4">
        <f t="shared" si="64"/>
        <v>-3.8957042167942642</v>
      </c>
      <c r="P642" s="4">
        <f t="shared" si="65"/>
        <v>950</v>
      </c>
      <c r="Q642" s="4">
        <f t="shared" si="66"/>
        <v>7.2334195556944373E-4</v>
      </c>
    </row>
    <row r="643" spans="1:17">
      <c r="A643" s="1" t="s">
        <v>300</v>
      </c>
      <c r="B643" s="1" t="s">
        <v>20</v>
      </c>
      <c r="C643" s="1" t="s">
        <v>18</v>
      </c>
      <c r="D643" s="1" t="s">
        <v>391</v>
      </c>
      <c r="E643" s="1">
        <v>48873</v>
      </c>
      <c r="F643" s="1">
        <v>351020</v>
      </c>
      <c r="G643" s="1">
        <f t="shared" ref="G643:G706" si="70">E643+F643</f>
        <v>399893</v>
      </c>
      <c r="H643" s="1">
        <v>59856</v>
      </c>
      <c r="I643" s="1">
        <v>0</v>
      </c>
      <c r="J643" s="1">
        <v>91</v>
      </c>
      <c r="K643" s="1">
        <f t="shared" si="69"/>
        <v>5446896</v>
      </c>
      <c r="L643" s="1">
        <v>6</v>
      </c>
      <c r="M643" s="1">
        <f t="shared" si="67"/>
        <v>5087760</v>
      </c>
      <c r="N643" s="1">
        <f t="shared" si="68"/>
        <v>4687867</v>
      </c>
      <c r="O643" s="4">
        <f t="shared" ref="O643:O706" si="71">SUM(N643/ABS(M643))</f>
        <v>0.92140097017154898</v>
      </c>
      <c r="P643" s="4">
        <f t="shared" ref="P643:P706" si="72">SUM(H643*L643)/M643*100</f>
        <v>7.0588235294117645</v>
      </c>
      <c r="Q643" s="4">
        <f t="shared" ref="Q643:Q706" si="73">I643/K643*100</f>
        <v>0</v>
      </c>
    </row>
    <row r="644" spans="1:17">
      <c r="A644" s="1" t="s">
        <v>301</v>
      </c>
      <c r="B644" s="1" t="s">
        <v>20</v>
      </c>
      <c r="C644" s="1" t="s">
        <v>21</v>
      </c>
      <c r="D644" s="1" t="s">
        <v>391</v>
      </c>
      <c r="E644" s="1">
        <v>35696</v>
      </c>
      <c r="F644" s="1">
        <v>371107</v>
      </c>
      <c r="G644" s="1">
        <f t="shared" si="70"/>
        <v>406803</v>
      </c>
      <c r="H644" s="1">
        <v>40683</v>
      </c>
      <c r="I644" s="1">
        <v>5</v>
      </c>
      <c r="J644" s="1">
        <v>26</v>
      </c>
      <c r="K644" s="1">
        <f t="shared" si="69"/>
        <v>1057758</v>
      </c>
      <c r="L644" s="1">
        <v>23</v>
      </c>
      <c r="M644" s="1">
        <f t="shared" ref="M644:M707" si="74">K644-H644*L644</f>
        <v>122049</v>
      </c>
      <c r="N644" s="1">
        <f t="shared" ref="N644:N707" si="75">M644-G644</f>
        <v>-284754</v>
      </c>
      <c r="O644" s="4">
        <f t="shared" si="71"/>
        <v>-2.3331121107096329</v>
      </c>
      <c r="P644" s="4">
        <f t="shared" si="72"/>
        <v>766.66666666666674</v>
      </c>
      <c r="Q644" s="4">
        <f t="shared" si="73"/>
        <v>4.7269791388956646E-4</v>
      </c>
    </row>
    <row r="645" spans="1:17">
      <c r="A645" s="1" t="s">
        <v>302</v>
      </c>
      <c r="B645" s="1" t="s">
        <v>26</v>
      </c>
      <c r="C645" s="1" t="s">
        <v>21</v>
      </c>
      <c r="D645" s="1" t="s">
        <v>391</v>
      </c>
      <c r="E645" s="1">
        <v>22566</v>
      </c>
      <c r="F645" s="1">
        <v>192378</v>
      </c>
      <c r="G645" s="1">
        <f t="shared" si="70"/>
        <v>214944</v>
      </c>
      <c r="H645" s="1">
        <v>62589</v>
      </c>
      <c r="I645" s="1">
        <v>5</v>
      </c>
      <c r="J645" s="1">
        <v>125</v>
      </c>
      <c r="K645" s="1">
        <f t="shared" ref="K645:K708" si="76">H645*J645</f>
        <v>7823625</v>
      </c>
      <c r="L645" s="1">
        <v>35</v>
      </c>
      <c r="M645" s="1">
        <f t="shared" si="74"/>
        <v>5633010</v>
      </c>
      <c r="N645" s="1">
        <f t="shared" si="75"/>
        <v>5418066</v>
      </c>
      <c r="O645" s="4">
        <f t="shared" si="71"/>
        <v>0.96184207022533241</v>
      </c>
      <c r="P645" s="4">
        <f t="shared" si="72"/>
        <v>38.888888888888893</v>
      </c>
      <c r="Q645" s="4">
        <f t="shared" si="73"/>
        <v>6.3908993593123385E-5</v>
      </c>
    </row>
    <row r="646" spans="1:17">
      <c r="A646" s="1" t="s">
        <v>303</v>
      </c>
      <c r="B646" s="1" t="s">
        <v>14</v>
      </c>
      <c r="C646" s="1" t="s">
        <v>21</v>
      </c>
      <c r="D646" s="1" t="s">
        <v>391</v>
      </c>
      <c r="E646" s="1">
        <v>36231</v>
      </c>
      <c r="F646" s="1">
        <v>235684</v>
      </c>
      <c r="G646" s="1">
        <f t="shared" si="70"/>
        <v>271915</v>
      </c>
      <c r="H646" s="1">
        <v>80110</v>
      </c>
      <c r="I646" s="1">
        <v>0</v>
      </c>
      <c r="J646" s="1">
        <v>121</v>
      </c>
      <c r="K646" s="1">
        <f t="shared" si="76"/>
        <v>9693310</v>
      </c>
      <c r="L646" s="1">
        <v>9</v>
      </c>
      <c r="M646" s="1">
        <f t="shared" si="74"/>
        <v>8972320</v>
      </c>
      <c r="N646" s="1">
        <f t="shared" si="75"/>
        <v>8700405</v>
      </c>
      <c r="O646" s="4">
        <f t="shared" si="71"/>
        <v>0.96969401448008985</v>
      </c>
      <c r="P646" s="4">
        <f t="shared" si="72"/>
        <v>8.0357142857142865</v>
      </c>
      <c r="Q646" s="4">
        <f t="shared" si="73"/>
        <v>0</v>
      </c>
    </row>
    <row r="647" spans="1:17">
      <c r="A647" s="1" t="s">
        <v>304</v>
      </c>
      <c r="B647" s="1" t="s">
        <v>26</v>
      </c>
      <c r="C647" s="1" t="s">
        <v>21</v>
      </c>
      <c r="D647" s="1" t="s">
        <v>392</v>
      </c>
      <c r="E647" s="1">
        <v>43174</v>
      </c>
      <c r="F647" s="1">
        <v>133969</v>
      </c>
      <c r="G647" s="1">
        <f t="shared" si="70"/>
        <v>177143</v>
      </c>
      <c r="H647" s="1">
        <v>20005</v>
      </c>
      <c r="I647" s="1">
        <v>15</v>
      </c>
      <c r="J647" s="1">
        <v>30</v>
      </c>
      <c r="K647" s="1">
        <f t="shared" si="76"/>
        <v>600150</v>
      </c>
      <c r="L647" s="1">
        <v>20</v>
      </c>
      <c r="M647" s="1">
        <f t="shared" si="74"/>
        <v>200050</v>
      </c>
      <c r="N647" s="1">
        <f t="shared" si="75"/>
        <v>22907</v>
      </c>
      <c r="O647" s="4">
        <f t="shared" si="71"/>
        <v>0.11450637340664833</v>
      </c>
      <c r="P647" s="4">
        <f t="shared" si="72"/>
        <v>200</v>
      </c>
      <c r="Q647" s="4">
        <f t="shared" si="73"/>
        <v>2.4993751562109472E-3</v>
      </c>
    </row>
    <row r="648" spans="1:17">
      <c r="A648" s="1" t="s">
        <v>305</v>
      </c>
      <c r="B648" s="1" t="s">
        <v>14</v>
      </c>
      <c r="C648" s="1" t="s">
        <v>29</v>
      </c>
      <c r="D648" s="1" t="s">
        <v>392</v>
      </c>
      <c r="E648" s="1">
        <v>7418</v>
      </c>
      <c r="F648" s="1">
        <v>131689</v>
      </c>
      <c r="G648" s="1">
        <f t="shared" si="70"/>
        <v>139107</v>
      </c>
      <c r="H648" s="1">
        <v>84656</v>
      </c>
      <c r="I648" s="1">
        <v>15</v>
      </c>
      <c r="J648" s="1">
        <v>118</v>
      </c>
      <c r="K648" s="1">
        <f t="shared" si="76"/>
        <v>9989408</v>
      </c>
      <c r="L648" s="1">
        <v>40</v>
      </c>
      <c r="M648" s="1">
        <f t="shared" si="74"/>
        <v>6603168</v>
      </c>
      <c r="N648" s="1">
        <f t="shared" si="75"/>
        <v>6464061</v>
      </c>
      <c r="O648" s="4">
        <f t="shared" si="71"/>
        <v>0.97893329383714001</v>
      </c>
      <c r="P648" s="4">
        <f t="shared" si="72"/>
        <v>51.282051282051277</v>
      </c>
      <c r="Q648" s="4">
        <f t="shared" si="73"/>
        <v>1.501590484641332E-4</v>
      </c>
    </row>
    <row r="649" spans="1:17">
      <c r="A649" s="1" t="s">
        <v>306</v>
      </c>
      <c r="B649" s="1" t="s">
        <v>17</v>
      </c>
      <c r="C649" s="1" t="s">
        <v>18</v>
      </c>
      <c r="D649" s="1" t="s">
        <v>392</v>
      </c>
      <c r="E649" s="1">
        <v>12567</v>
      </c>
      <c r="F649" s="1">
        <v>243355</v>
      </c>
      <c r="G649" s="1">
        <f t="shared" si="70"/>
        <v>255922</v>
      </c>
      <c r="H649" s="1">
        <v>51515</v>
      </c>
      <c r="I649" s="1">
        <v>0</v>
      </c>
      <c r="J649" s="1">
        <v>118</v>
      </c>
      <c r="K649" s="1">
        <f t="shared" si="76"/>
        <v>6078770</v>
      </c>
      <c r="L649" s="1">
        <v>86</v>
      </c>
      <c r="M649" s="1">
        <f t="shared" si="74"/>
        <v>1648480</v>
      </c>
      <c r="N649" s="1">
        <f t="shared" si="75"/>
        <v>1392558</v>
      </c>
      <c r="O649" s="4">
        <f t="shared" si="71"/>
        <v>0.84475274191982919</v>
      </c>
      <c r="P649" s="4">
        <f t="shared" si="72"/>
        <v>268.75</v>
      </c>
      <c r="Q649" s="4">
        <f t="shared" si="73"/>
        <v>0</v>
      </c>
    </row>
    <row r="650" spans="1:17">
      <c r="A650" s="1" t="s">
        <v>307</v>
      </c>
      <c r="B650" s="1" t="s">
        <v>14</v>
      </c>
      <c r="C650" s="1" t="s">
        <v>18</v>
      </c>
      <c r="D650" s="1" t="s">
        <v>391</v>
      </c>
      <c r="E650" s="1">
        <v>11213</v>
      </c>
      <c r="F650" s="1">
        <v>245283</v>
      </c>
      <c r="G650" s="1">
        <f t="shared" si="70"/>
        <v>256496</v>
      </c>
      <c r="H650" s="1">
        <v>51155</v>
      </c>
      <c r="I650" s="1">
        <v>5</v>
      </c>
      <c r="J650" s="1">
        <v>131</v>
      </c>
      <c r="K650" s="1">
        <f t="shared" si="76"/>
        <v>6701305</v>
      </c>
      <c r="L650" s="1">
        <v>12</v>
      </c>
      <c r="M650" s="1">
        <f t="shared" si="74"/>
        <v>6087445</v>
      </c>
      <c r="N650" s="1">
        <f t="shared" si="75"/>
        <v>5830949</v>
      </c>
      <c r="O650" s="4">
        <f t="shared" si="71"/>
        <v>0.95786475278216066</v>
      </c>
      <c r="P650" s="4">
        <f t="shared" si="72"/>
        <v>10.084033613445378</v>
      </c>
      <c r="Q650" s="4">
        <f t="shared" si="73"/>
        <v>7.4612332970966103E-5</v>
      </c>
    </row>
    <row r="651" spans="1:17">
      <c r="A651" s="1" t="s">
        <v>308</v>
      </c>
      <c r="B651" s="1" t="s">
        <v>14</v>
      </c>
      <c r="C651" s="1" t="s">
        <v>15</v>
      </c>
      <c r="D651" s="1" t="s">
        <v>392</v>
      </c>
      <c r="E651" s="1">
        <v>32434</v>
      </c>
      <c r="F651" s="1">
        <v>249695</v>
      </c>
      <c r="G651" s="1">
        <f t="shared" si="70"/>
        <v>282129</v>
      </c>
      <c r="H651" s="1">
        <v>22788</v>
      </c>
      <c r="I651" s="1">
        <v>5</v>
      </c>
      <c r="J651" s="1">
        <v>100</v>
      </c>
      <c r="K651" s="1">
        <f t="shared" si="76"/>
        <v>2278800</v>
      </c>
      <c r="L651" s="1">
        <v>38</v>
      </c>
      <c r="M651" s="1">
        <f t="shared" si="74"/>
        <v>1412856</v>
      </c>
      <c r="N651" s="1">
        <f t="shared" si="75"/>
        <v>1130727</v>
      </c>
      <c r="O651" s="4">
        <f t="shared" si="71"/>
        <v>0.80031298306409149</v>
      </c>
      <c r="P651" s="4">
        <f t="shared" si="72"/>
        <v>61.29032258064516</v>
      </c>
      <c r="Q651" s="4">
        <f t="shared" si="73"/>
        <v>2.1941372652273125E-4</v>
      </c>
    </row>
    <row r="652" spans="1:17">
      <c r="A652" s="1" t="s">
        <v>309</v>
      </c>
      <c r="B652" s="1" t="s">
        <v>26</v>
      </c>
      <c r="C652" s="1" t="s">
        <v>18</v>
      </c>
      <c r="D652" s="1" t="s">
        <v>391</v>
      </c>
      <c r="E652" s="1">
        <v>46858</v>
      </c>
      <c r="F652" s="1">
        <v>188250</v>
      </c>
      <c r="G652" s="1">
        <f t="shared" si="70"/>
        <v>235108</v>
      </c>
      <c r="H652" s="1">
        <v>39068</v>
      </c>
      <c r="I652" s="1">
        <v>5</v>
      </c>
      <c r="J652" s="1">
        <v>13</v>
      </c>
      <c r="K652" s="1">
        <f t="shared" si="76"/>
        <v>507884</v>
      </c>
      <c r="L652" s="1">
        <v>8</v>
      </c>
      <c r="M652" s="1">
        <f t="shared" si="74"/>
        <v>195340</v>
      </c>
      <c r="N652" s="1">
        <f t="shared" si="75"/>
        <v>-39768</v>
      </c>
      <c r="O652" s="4">
        <f t="shared" si="71"/>
        <v>-0.20358349544384149</v>
      </c>
      <c r="P652" s="4">
        <f t="shared" si="72"/>
        <v>160</v>
      </c>
      <c r="Q652" s="4">
        <f t="shared" si="73"/>
        <v>9.8447677028612826E-4</v>
      </c>
    </row>
    <row r="653" spans="1:17">
      <c r="A653" s="1" t="s">
        <v>310</v>
      </c>
      <c r="B653" s="1" t="s">
        <v>26</v>
      </c>
      <c r="C653" s="1" t="s">
        <v>18</v>
      </c>
      <c r="D653" s="1" t="s">
        <v>391</v>
      </c>
      <c r="E653" s="1">
        <v>19138</v>
      </c>
      <c r="F653" s="1">
        <v>130166</v>
      </c>
      <c r="G653" s="1">
        <f t="shared" si="70"/>
        <v>149304</v>
      </c>
      <c r="H653" s="1">
        <v>37324</v>
      </c>
      <c r="I653" s="1">
        <v>20</v>
      </c>
      <c r="J653" s="1">
        <v>25</v>
      </c>
      <c r="K653" s="1">
        <f t="shared" si="76"/>
        <v>933100</v>
      </c>
      <c r="L653" s="1">
        <v>38</v>
      </c>
      <c r="M653" s="1">
        <f t="shared" si="74"/>
        <v>-485212</v>
      </c>
      <c r="N653" s="1">
        <f t="shared" si="75"/>
        <v>-634516</v>
      </c>
      <c r="O653" s="4">
        <f t="shared" si="71"/>
        <v>-1.3077087953307007</v>
      </c>
      <c r="P653" s="4">
        <f t="shared" si="72"/>
        <v>-292.30769230769226</v>
      </c>
      <c r="Q653" s="4">
        <f t="shared" si="73"/>
        <v>2.1433929911049191E-3</v>
      </c>
    </row>
    <row r="654" spans="1:17">
      <c r="A654" s="1" t="s">
        <v>311</v>
      </c>
      <c r="B654" s="1" t="s">
        <v>17</v>
      </c>
      <c r="C654" s="1" t="s">
        <v>38</v>
      </c>
      <c r="D654" s="1" t="s">
        <v>392</v>
      </c>
      <c r="E654" s="1">
        <v>33766</v>
      </c>
      <c r="F654" s="1">
        <v>301207</v>
      </c>
      <c r="G654" s="1">
        <f t="shared" si="70"/>
        <v>334973</v>
      </c>
      <c r="H654" s="1">
        <v>72354</v>
      </c>
      <c r="I654" s="1">
        <v>15</v>
      </c>
      <c r="J654" s="1">
        <v>130</v>
      </c>
      <c r="K654" s="1">
        <f t="shared" si="76"/>
        <v>9406020</v>
      </c>
      <c r="L654" s="1">
        <v>8</v>
      </c>
      <c r="M654" s="1">
        <f t="shared" si="74"/>
        <v>8827188</v>
      </c>
      <c r="N654" s="1">
        <f t="shared" si="75"/>
        <v>8492215</v>
      </c>
      <c r="O654" s="4">
        <f t="shared" si="71"/>
        <v>0.96205212803896323</v>
      </c>
      <c r="P654" s="4">
        <f t="shared" si="72"/>
        <v>6.557377049180328</v>
      </c>
      <c r="Q654" s="4">
        <f t="shared" si="73"/>
        <v>1.5947233792826298E-4</v>
      </c>
    </row>
    <row r="655" spans="1:17">
      <c r="A655" s="1" t="s">
        <v>312</v>
      </c>
      <c r="B655" s="1" t="s">
        <v>26</v>
      </c>
      <c r="C655" s="1" t="s">
        <v>29</v>
      </c>
      <c r="D655" s="1" t="s">
        <v>392</v>
      </c>
      <c r="E655" s="1">
        <v>11022</v>
      </c>
      <c r="F655" s="1">
        <v>120970</v>
      </c>
      <c r="G655" s="1">
        <f t="shared" si="70"/>
        <v>131992</v>
      </c>
      <c r="H655" s="1">
        <v>46286</v>
      </c>
      <c r="I655" s="1">
        <v>0</v>
      </c>
      <c r="J655" s="1">
        <v>37</v>
      </c>
      <c r="K655" s="1">
        <f t="shared" si="76"/>
        <v>1712582</v>
      </c>
      <c r="L655" s="1">
        <v>39</v>
      </c>
      <c r="M655" s="1">
        <f t="shared" si="74"/>
        <v>-92572</v>
      </c>
      <c r="N655" s="1">
        <f t="shared" si="75"/>
        <v>-224564</v>
      </c>
      <c r="O655" s="4">
        <f t="shared" si="71"/>
        <v>-2.4258307047487362</v>
      </c>
      <c r="P655" s="4">
        <f t="shared" si="72"/>
        <v>-1950</v>
      </c>
      <c r="Q655" s="4">
        <f t="shared" si="73"/>
        <v>0</v>
      </c>
    </row>
    <row r="656" spans="1:17">
      <c r="A656" s="1" t="s">
        <v>313</v>
      </c>
      <c r="B656" s="1" t="s">
        <v>17</v>
      </c>
      <c r="C656" s="1" t="s">
        <v>15</v>
      </c>
      <c r="D656" s="1" t="s">
        <v>392</v>
      </c>
      <c r="E656" s="1">
        <v>47547</v>
      </c>
      <c r="F656" s="1">
        <v>367563</v>
      </c>
      <c r="G656" s="1">
        <f t="shared" si="70"/>
        <v>415110</v>
      </c>
      <c r="H656" s="1">
        <v>16989</v>
      </c>
      <c r="I656" s="1">
        <v>10</v>
      </c>
      <c r="J656" s="1">
        <v>128</v>
      </c>
      <c r="K656" s="1">
        <f t="shared" si="76"/>
        <v>2174592</v>
      </c>
      <c r="L656" s="1">
        <v>34</v>
      </c>
      <c r="M656" s="1">
        <f t="shared" si="74"/>
        <v>1596966</v>
      </c>
      <c r="N656" s="1">
        <f t="shared" si="75"/>
        <v>1181856</v>
      </c>
      <c r="O656" s="4">
        <f t="shared" si="71"/>
        <v>0.74006334511818039</v>
      </c>
      <c r="P656" s="4">
        <f t="shared" si="72"/>
        <v>36.170212765957451</v>
      </c>
      <c r="Q656" s="4">
        <f t="shared" si="73"/>
        <v>4.5985637765613046E-4</v>
      </c>
    </row>
    <row r="657" spans="1:17">
      <c r="A657" s="1" t="s">
        <v>314</v>
      </c>
      <c r="B657" s="1" t="s">
        <v>14</v>
      </c>
      <c r="C657" s="1" t="s">
        <v>21</v>
      </c>
      <c r="D657" s="1" t="s">
        <v>392</v>
      </c>
      <c r="E657" s="1">
        <v>5544</v>
      </c>
      <c r="F657" s="1">
        <v>310304</v>
      </c>
      <c r="G657" s="1">
        <f t="shared" si="70"/>
        <v>315848</v>
      </c>
      <c r="H657" s="1">
        <v>27884</v>
      </c>
      <c r="I657" s="1">
        <v>5</v>
      </c>
      <c r="J657" s="1">
        <v>124</v>
      </c>
      <c r="K657" s="1">
        <f t="shared" si="76"/>
        <v>3457616</v>
      </c>
      <c r="L657" s="1">
        <v>16</v>
      </c>
      <c r="M657" s="1">
        <f t="shared" si="74"/>
        <v>3011472</v>
      </c>
      <c r="N657" s="1">
        <f t="shared" si="75"/>
        <v>2695624</v>
      </c>
      <c r="O657" s="4">
        <f t="shared" si="71"/>
        <v>0.89511840056955538</v>
      </c>
      <c r="P657" s="4">
        <f t="shared" si="72"/>
        <v>14.814814814814813</v>
      </c>
      <c r="Q657" s="4">
        <f t="shared" si="73"/>
        <v>1.4460830815220661E-4</v>
      </c>
    </row>
    <row r="658" spans="1:17">
      <c r="A658" s="1" t="s">
        <v>315</v>
      </c>
      <c r="B658" s="1" t="s">
        <v>20</v>
      </c>
      <c r="C658" s="1" t="s">
        <v>29</v>
      </c>
      <c r="D658" s="1" t="s">
        <v>392</v>
      </c>
      <c r="E658" s="1">
        <v>13232</v>
      </c>
      <c r="F658" s="1">
        <v>171869</v>
      </c>
      <c r="G658" s="1">
        <f t="shared" si="70"/>
        <v>185101</v>
      </c>
      <c r="H658" s="1">
        <v>73243</v>
      </c>
      <c r="I658" s="1">
        <v>5</v>
      </c>
      <c r="J658" s="1">
        <v>136</v>
      </c>
      <c r="K658" s="1">
        <f t="shared" si="76"/>
        <v>9961048</v>
      </c>
      <c r="L658" s="1">
        <v>25</v>
      </c>
      <c r="M658" s="1">
        <f t="shared" si="74"/>
        <v>8129973</v>
      </c>
      <c r="N658" s="1">
        <f t="shared" si="75"/>
        <v>7944872</v>
      </c>
      <c r="O658" s="4">
        <f t="shared" si="71"/>
        <v>0.97723227371111809</v>
      </c>
      <c r="P658" s="4">
        <f t="shared" si="72"/>
        <v>22.522522522522522</v>
      </c>
      <c r="Q658" s="4">
        <f t="shared" si="73"/>
        <v>5.0195521595719642E-5</v>
      </c>
    </row>
    <row r="659" spans="1:17">
      <c r="A659" s="1" t="s">
        <v>316</v>
      </c>
      <c r="B659" s="1" t="s">
        <v>26</v>
      </c>
      <c r="C659" s="1" t="s">
        <v>29</v>
      </c>
      <c r="D659" s="1" t="s">
        <v>392</v>
      </c>
      <c r="E659" s="1">
        <v>6890</v>
      </c>
      <c r="F659" s="1">
        <v>164828</v>
      </c>
      <c r="G659" s="1">
        <f t="shared" si="70"/>
        <v>171718</v>
      </c>
      <c r="H659" s="1">
        <v>21921</v>
      </c>
      <c r="I659" s="1">
        <v>10</v>
      </c>
      <c r="J659" s="1">
        <v>24</v>
      </c>
      <c r="K659" s="1">
        <f t="shared" si="76"/>
        <v>526104</v>
      </c>
      <c r="L659" s="1">
        <v>39</v>
      </c>
      <c r="M659" s="1">
        <f t="shared" si="74"/>
        <v>-328815</v>
      </c>
      <c r="N659" s="1">
        <f t="shared" si="75"/>
        <v>-500533</v>
      </c>
      <c r="O659" s="4">
        <f t="shared" si="71"/>
        <v>-1.5222328665054818</v>
      </c>
      <c r="P659" s="4">
        <f t="shared" si="72"/>
        <v>-260</v>
      </c>
      <c r="Q659" s="4">
        <f t="shared" si="73"/>
        <v>1.9007648677827958E-3</v>
      </c>
    </row>
    <row r="660" spans="1:17">
      <c r="A660" s="1" t="s">
        <v>317</v>
      </c>
      <c r="B660" s="1" t="s">
        <v>14</v>
      </c>
      <c r="C660" s="1" t="s">
        <v>29</v>
      </c>
      <c r="D660" s="1" t="s">
        <v>392</v>
      </c>
      <c r="E660" s="1">
        <v>27780</v>
      </c>
      <c r="F660" s="1">
        <v>169730</v>
      </c>
      <c r="G660" s="1">
        <f t="shared" si="70"/>
        <v>197510</v>
      </c>
      <c r="H660" s="1">
        <v>17300</v>
      </c>
      <c r="I660" s="1">
        <v>5</v>
      </c>
      <c r="J660" s="1">
        <v>126</v>
      </c>
      <c r="K660" s="1">
        <f t="shared" si="76"/>
        <v>2179800</v>
      </c>
      <c r="L660" s="1">
        <v>92</v>
      </c>
      <c r="M660" s="1">
        <f t="shared" si="74"/>
        <v>588200</v>
      </c>
      <c r="N660" s="1">
        <f t="shared" si="75"/>
        <v>390690</v>
      </c>
      <c r="O660" s="4">
        <f t="shared" si="71"/>
        <v>0.66421285277116626</v>
      </c>
      <c r="P660" s="4">
        <f t="shared" si="72"/>
        <v>270.58823529411768</v>
      </c>
      <c r="Q660" s="4">
        <f t="shared" si="73"/>
        <v>2.2937884209560511E-4</v>
      </c>
    </row>
    <row r="661" spans="1:17">
      <c r="A661" s="1" t="s">
        <v>318</v>
      </c>
      <c r="B661" s="1" t="s">
        <v>17</v>
      </c>
      <c r="C661" s="1" t="s">
        <v>15</v>
      </c>
      <c r="D661" s="1" t="s">
        <v>391</v>
      </c>
      <c r="E661" s="1">
        <v>18269</v>
      </c>
      <c r="F661" s="1">
        <v>372354</v>
      </c>
      <c r="G661" s="1">
        <f t="shared" si="70"/>
        <v>390623</v>
      </c>
      <c r="H661" s="1">
        <v>51731</v>
      </c>
      <c r="I661" s="1">
        <v>20</v>
      </c>
      <c r="J661" s="1">
        <v>37</v>
      </c>
      <c r="K661" s="1">
        <f t="shared" si="76"/>
        <v>1914047</v>
      </c>
      <c r="L661" s="1">
        <v>4</v>
      </c>
      <c r="M661" s="1">
        <f t="shared" si="74"/>
        <v>1707123</v>
      </c>
      <c r="N661" s="1">
        <f t="shared" si="75"/>
        <v>1316500</v>
      </c>
      <c r="O661" s="4">
        <f t="shared" si="71"/>
        <v>0.77118051833406265</v>
      </c>
      <c r="P661" s="4">
        <f t="shared" si="72"/>
        <v>12.121212121212121</v>
      </c>
      <c r="Q661" s="4">
        <f t="shared" si="73"/>
        <v>1.0449064207932199E-3</v>
      </c>
    </row>
    <row r="662" spans="1:17">
      <c r="A662" s="1" t="s">
        <v>319</v>
      </c>
      <c r="B662" s="1" t="s">
        <v>14</v>
      </c>
      <c r="C662" s="1" t="s">
        <v>18</v>
      </c>
      <c r="D662" s="1" t="s">
        <v>392</v>
      </c>
      <c r="E662" s="1">
        <v>38440</v>
      </c>
      <c r="F662" s="1">
        <v>243730</v>
      </c>
      <c r="G662" s="1">
        <f t="shared" si="70"/>
        <v>282170</v>
      </c>
      <c r="H662" s="1">
        <v>75417</v>
      </c>
      <c r="I662" s="1">
        <v>5</v>
      </c>
      <c r="J662" s="1">
        <v>99</v>
      </c>
      <c r="K662" s="1">
        <f t="shared" si="76"/>
        <v>7466283</v>
      </c>
      <c r="L662" s="1">
        <v>5</v>
      </c>
      <c r="M662" s="1">
        <f t="shared" si="74"/>
        <v>7089198</v>
      </c>
      <c r="N662" s="1">
        <f t="shared" si="75"/>
        <v>6807028</v>
      </c>
      <c r="O662" s="4">
        <f t="shared" si="71"/>
        <v>0.96019719014760208</v>
      </c>
      <c r="P662" s="4">
        <f t="shared" si="72"/>
        <v>5.3191489361702127</v>
      </c>
      <c r="Q662" s="4">
        <f t="shared" si="73"/>
        <v>6.6967726779175129E-5</v>
      </c>
    </row>
    <row r="663" spans="1:17">
      <c r="A663" s="1" t="s">
        <v>320</v>
      </c>
      <c r="B663" s="1" t="s">
        <v>20</v>
      </c>
      <c r="C663" s="1" t="s">
        <v>15</v>
      </c>
      <c r="D663" s="1" t="s">
        <v>392</v>
      </c>
      <c r="E663" s="1">
        <v>40494</v>
      </c>
      <c r="F663" s="1">
        <v>197488</v>
      </c>
      <c r="G663" s="1">
        <f t="shared" si="70"/>
        <v>237982</v>
      </c>
      <c r="H663" s="1">
        <v>11360</v>
      </c>
      <c r="I663" s="1">
        <v>20</v>
      </c>
      <c r="J663" s="1">
        <v>121</v>
      </c>
      <c r="K663" s="1">
        <f t="shared" si="76"/>
        <v>1374560</v>
      </c>
      <c r="L663" s="1">
        <v>8</v>
      </c>
      <c r="M663" s="1">
        <f t="shared" si="74"/>
        <v>1283680</v>
      </c>
      <c r="N663" s="1">
        <f t="shared" si="75"/>
        <v>1045698</v>
      </c>
      <c r="O663" s="4">
        <f t="shared" si="71"/>
        <v>0.81460956001495699</v>
      </c>
      <c r="P663" s="4">
        <f t="shared" si="72"/>
        <v>7.0796460176991154</v>
      </c>
      <c r="Q663" s="4">
        <f t="shared" si="73"/>
        <v>1.4550110580840415E-3</v>
      </c>
    </row>
    <row r="664" spans="1:17">
      <c r="A664" s="1" t="s">
        <v>321</v>
      </c>
      <c r="B664" s="1" t="s">
        <v>26</v>
      </c>
      <c r="C664" s="1" t="s">
        <v>31</v>
      </c>
      <c r="D664" s="1" t="s">
        <v>392</v>
      </c>
      <c r="E664" s="1">
        <v>43778</v>
      </c>
      <c r="F664" s="1">
        <v>312395</v>
      </c>
      <c r="G664" s="1">
        <f t="shared" si="70"/>
        <v>356173</v>
      </c>
      <c r="H664" s="1">
        <v>31860</v>
      </c>
      <c r="I664" s="1">
        <v>10</v>
      </c>
      <c r="J664" s="1">
        <v>19</v>
      </c>
      <c r="K664" s="1">
        <f t="shared" si="76"/>
        <v>605340</v>
      </c>
      <c r="L664" s="1">
        <v>37</v>
      </c>
      <c r="M664" s="1">
        <f t="shared" si="74"/>
        <v>-573480</v>
      </c>
      <c r="N664" s="1">
        <f t="shared" si="75"/>
        <v>-929653</v>
      </c>
      <c r="O664" s="4">
        <f t="shared" si="71"/>
        <v>-1.621073097579689</v>
      </c>
      <c r="P664" s="4">
        <f t="shared" si="72"/>
        <v>-205.55555555555554</v>
      </c>
      <c r="Q664" s="4">
        <f t="shared" si="73"/>
        <v>1.6519641854164601E-3</v>
      </c>
    </row>
    <row r="665" spans="1:17">
      <c r="A665" s="1" t="s">
        <v>322</v>
      </c>
      <c r="B665" s="1" t="s">
        <v>17</v>
      </c>
      <c r="C665" s="1" t="s">
        <v>29</v>
      </c>
      <c r="D665" s="1" t="s">
        <v>392</v>
      </c>
      <c r="E665" s="1">
        <v>25368</v>
      </c>
      <c r="F665" s="1">
        <v>176206</v>
      </c>
      <c r="G665" s="1">
        <f t="shared" si="70"/>
        <v>201574</v>
      </c>
      <c r="H665" s="1">
        <v>68384</v>
      </c>
      <c r="I665" s="1">
        <v>0</v>
      </c>
      <c r="J665" s="1">
        <v>35</v>
      </c>
      <c r="K665" s="1">
        <f t="shared" si="76"/>
        <v>2393440</v>
      </c>
      <c r="L665" s="1">
        <v>14</v>
      </c>
      <c r="M665" s="1">
        <f t="shared" si="74"/>
        <v>1436064</v>
      </c>
      <c r="N665" s="1">
        <f t="shared" si="75"/>
        <v>1234490</v>
      </c>
      <c r="O665" s="4">
        <f t="shared" si="71"/>
        <v>0.85963438955366889</v>
      </c>
      <c r="P665" s="4">
        <f t="shared" si="72"/>
        <v>66.666666666666657</v>
      </c>
      <c r="Q665" s="4">
        <f t="shared" si="73"/>
        <v>0</v>
      </c>
    </row>
    <row r="666" spans="1:17">
      <c r="A666" s="1" t="s">
        <v>323</v>
      </c>
      <c r="B666" s="1" t="s">
        <v>20</v>
      </c>
      <c r="C666" s="1" t="s">
        <v>15</v>
      </c>
      <c r="D666" s="1" t="s">
        <v>392</v>
      </c>
      <c r="E666" s="1">
        <v>24336</v>
      </c>
      <c r="F666" s="1">
        <v>105533</v>
      </c>
      <c r="G666" s="1">
        <f t="shared" si="70"/>
        <v>129869</v>
      </c>
      <c r="H666" s="1">
        <v>74784</v>
      </c>
      <c r="I666" s="1">
        <v>15</v>
      </c>
      <c r="J666" s="1">
        <v>114</v>
      </c>
      <c r="K666" s="1">
        <f t="shared" si="76"/>
        <v>8525376</v>
      </c>
      <c r="L666" s="1">
        <v>25</v>
      </c>
      <c r="M666" s="1">
        <f t="shared" si="74"/>
        <v>6655776</v>
      </c>
      <c r="N666" s="1">
        <f t="shared" si="75"/>
        <v>6525907</v>
      </c>
      <c r="O666" s="4">
        <f t="shared" si="71"/>
        <v>0.98048777482896055</v>
      </c>
      <c r="P666" s="4">
        <f t="shared" si="72"/>
        <v>28.08988764044944</v>
      </c>
      <c r="Q666" s="4">
        <f t="shared" si="73"/>
        <v>1.759453190099768E-4</v>
      </c>
    </row>
    <row r="667" spans="1:17">
      <c r="A667" s="1" t="s">
        <v>324</v>
      </c>
      <c r="B667" s="1" t="s">
        <v>26</v>
      </c>
      <c r="C667" s="1" t="s">
        <v>18</v>
      </c>
      <c r="D667" s="1" t="s">
        <v>391</v>
      </c>
      <c r="E667" s="1">
        <v>19925</v>
      </c>
      <c r="F667" s="1">
        <v>353809</v>
      </c>
      <c r="G667" s="1">
        <f t="shared" si="70"/>
        <v>373734</v>
      </c>
      <c r="H667" s="1">
        <v>15483</v>
      </c>
      <c r="I667" s="1">
        <v>20</v>
      </c>
      <c r="J667" s="1">
        <v>84</v>
      </c>
      <c r="K667" s="1">
        <f t="shared" si="76"/>
        <v>1300572</v>
      </c>
      <c r="L667" s="1">
        <v>3</v>
      </c>
      <c r="M667" s="1">
        <f t="shared" si="74"/>
        <v>1254123</v>
      </c>
      <c r="N667" s="1">
        <f t="shared" si="75"/>
        <v>880389</v>
      </c>
      <c r="O667" s="4">
        <f t="shared" si="71"/>
        <v>0.70199573726022091</v>
      </c>
      <c r="P667" s="4">
        <f t="shared" si="72"/>
        <v>3.7037037037037033</v>
      </c>
      <c r="Q667" s="4">
        <f t="shared" si="73"/>
        <v>1.5377849130997745E-3</v>
      </c>
    </row>
    <row r="668" spans="1:17">
      <c r="A668" s="1" t="s">
        <v>325</v>
      </c>
      <c r="B668" s="1" t="s">
        <v>20</v>
      </c>
      <c r="C668" s="1" t="s">
        <v>29</v>
      </c>
      <c r="D668" s="1" t="s">
        <v>391</v>
      </c>
      <c r="E668" s="1">
        <v>5750</v>
      </c>
      <c r="F668" s="1">
        <v>84481</v>
      </c>
      <c r="G668" s="1">
        <f t="shared" si="70"/>
        <v>90231</v>
      </c>
      <c r="H668" s="1">
        <v>77302</v>
      </c>
      <c r="I668" s="1">
        <v>20</v>
      </c>
      <c r="J668" s="1">
        <v>21</v>
      </c>
      <c r="K668" s="1">
        <f t="shared" si="76"/>
        <v>1623342</v>
      </c>
      <c r="L668" s="1">
        <v>26</v>
      </c>
      <c r="M668" s="1">
        <f t="shared" si="74"/>
        <v>-386510</v>
      </c>
      <c r="N668" s="1">
        <f t="shared" si="75"/>
        <v>-476741</v>
      </c>
      <c r="O668" s="4">
        <f t="shared" si="71"/>
        <v>-1.2334506222348711</v>
      </c>
      <c r="P668" s="4">
        <f t="shared" si="72"/>
        <v>-520</v>
      </c>
      <c r="Q668" s="4">
        <f t="shared" si="73"/>
        <v>1.2320262766564287E-3</v>
      </c>
    </row>
    <row r="669" spans="1:17">
      <c r="A669" s="1" t="s">
        <v>326</v>
      </c>
      <c r="B669" s="1" t="s">
        <v>14</v>
      </c>
      <c r="C669" s="1" t="s">
        <v>29</v>
      </c>
      <c r="D669" s="1" t="s">
        <v>391</v>
      </c>
      <c r="E669" s="1">
        <v>9582</v>
      </c>
      <c r="F669" s="1">
        <v>369965</v>
      </c>
      <c r="G669" s="1">
        <f t="shared" si="70"/>
        <v>379547</v>
      </c>
      <c r="H669" s="1">
        <v>67667</v>
      </c>
      <c r="I669" s="1">
        <v>15</v>
      </c>
      <c r="J669" s="1">
        <v>96</v>
      </c>
      <c r="K669" s="1">
        <f t="shared" si="76"/>
        <v>6496032</v>
      </c>
      <c r="L669" s="1">
        <v>20</v>
      </c>
      <c r="M669" s="1">
        <f t="shared" si="74"/>
        <v>5142692</v>
      </c>
      <c r="N669" s="1">
        <f t="shared" si="75"/>
        <v>4763145</v>
      </c>
      <c r="O669" s="4">
        <f t="shared" si="71"/>
        <v>0.92619682454247698</v>
      </c>
      <c r="P669" s="4">
        <f t="shared" si="72"/>
        <v>26.315789473684209</v>
      </c>
      <c r="Q669" s="4">
        <f t="shared" si="73"/>
        <v>2.3091019256062779E-4</v>
      </c>
    </row>
    <row r="670" spans="1:17">
      <c r="A670" s="1" t="s">
        <v>327</v>
      </c>
      <c r="B670" s="1" t="s">
        <v>26</v>
      </c>
      <c r="C670" s="1" t="s">
        <v>29</v>
      </c>
      <c r="D670" s="1" t="s">
        <v>391</v>
      </c>
      <c r="E670" s="1">
        <v>24265</v>
      </c>
      <c r="F670" s="1">
        <v>270371</v>
      </c>
      <c r="G670" s="1">
        <f t="shared" si="70"/>
        <v>294636</v>
      </c>
      <c r="H670" s="1">
        <v>78844</v>
      </c>
      <c r="I670" s="1">
        <v>10</v>
      </c>
      <c r="J670" s="1">
        <v>55</v>
      </c>
      <c r="K670" s="1">
        <f t="shared" si="76"/>
        <v>4336420</v>
      </c>
      <c r="L670" s="1">
        <v>32</v>
      </c>
      <c r="M670" s="1">
        <f t="shared" si="74"/>
        <v>1813412</v>
      </c>
      <c r="N670" s="1">
        <f t="shared" si="75"/>
        <v>1518776</v>
      </c>
      <c r="O670" s="4">
        <f t="shared" si="71"/>
        <v>0.83752396035760213</v>
      </c>
      <c r="P670" s="4">
        <f t="shared" si="72"/>
        <v>139.13043478260869</v>
      </c>
      <c r="Q670" s="4">
        <f t="shared" si="73"/>
        <v>2.3060496907587367E-4</v>
      </c>
    </row>
    <row r="671" spans="1:17">
      <c r="A671" s="1" t="s">
        <v>328</v>
      </c>
      <c r="B671" s="1" t="s">
        <v>26</v>
      </c>
      <c r="C671" s="1" t="s">
        <v>18</v>
      </c>
      <c r="D671" s="1" t="s">
        <v>391</v>
      </c>
      <c r="E671" s="1">
        <v>31031</v>
      </c>
      <c r="F671" s="1">
        <v>53007</v>
      </c>
      <c r="G671" s="1">
        <f t="shared" si="70"/>
        <v>84038</v>
      </c>
      <c r="H671" s="1">
        <v>25067</v>
      </c>
      <c r="I671" s="1">
        <v>5</v>
      </c>
      <c r="J671" s="1">
        <v>72</v>
      </c>
      <c r="K671" s="1">
        <f t="shared" si="76"/>
        <v>1804824</v>
      </c>
      <c r="L671" s="1">
        <v>5</v>
      </c>
      <c r="M671" s="1">
        <f t="shared" si="74"/>
        <v>1679489</v>
      </c>
      <c r="N671" s="1">
        <f t="shared" si="75"/>
        <v>1595451</v>
      </c>
      <c r="O671" s="4">
        <f t="shared" si="71"/>
        <v>0.94996216110971854</v>
      </c>
      <c r="P671" s="4">
        <f t="shared" si="72"/>
        <v>7.4626865671641784</v>
      </c>
      <c r="Q671" s="4">
        <f t="shared" si="73"/>
        <v>2.7703532311183803E-4</v>
      </c>
    </row>
    <row r="672" spans="1:17">
      <c r="A672" s="1" t="s">
        <v>329</v>
      </c>
      <c r="B672" s="1" t="s">
        <v>26</v>
      </c>
      <c r="C672" s="1" t="s">
        <v>21</v>
      </c>
      <c r="D672" s="1" t="s">
        <v>391</v>
      </c>
      <c r="E672" s="1">
        <v>48820</v>
      </c>
      <c r="F672" s="1">
        <v>380560</v>
      </c>
      <c r="G672" s="1">
        <f t="shared" si="70"/>
        <v>429380</v>
      </c>
      <c r="H672" s="1">
        <v>54010</v>
      </c>
      <c r="I672" s="1">
        <v>5</v>
      </c>
      <c r="J672" s="1">
        <v>79</v>
      </c>
      <c r="K672" s="1">
        <f t="shared" si="76"/>
        <v>4266790</v>
      </c>
      <c r="L672" s="1">
        <v>16</v>
      </c>
      <c r="M672" s="1">
        <f t="shared" si="74"/>
        <v>3402630</v>
      </c>
      <c r="N672" s="1">
        <f t="shared" si="75"/>
        <v>2973250</v>
      </c>
      <c r="O672" s="4">
        <f t="shared" si="71"/>
        <v>0.87380937686436666</v>
      </c>
      <c r="P672" s="4">
        <f t="shared" si="72"/>
        <v>25.396825396825395</v>
      </c>
      <c r="Q672" s="4">
        <f t="shared" si="73"/>
        <v>1.1718411264674382E-4</v>
      </c>
    </row>
    <row r="673" spans="1:17">
      <c r="A673" s="1" t="s">
        <v>330</v>
      </c>
      <c r="B673" s="1" t="s">
        <v>26</v>
      </c>
      <c r="C673" s="1" t="s">
        <v>29</v>
      </c>
      <c r="D673" s="1" t="s">
        <v>392</v>
      </c>
      <c r="E673" s="1">
        <v>9062</v>
      </c>
      <c r="F673" s="1">
        <v>128600</v>
      </c>
      <c r="G673" s="1">
        <f t="shared" si="70"/>
        <v>137662</v>
      </c>
      <c r="H673" s="1">
        <v>72734</v>
      </c>
      <c r="I673" s="1">
        <v>5</v>
      </c>
      <c r="J673" s="1">
        <v>79</v>
      </c>
      <c r="K673" s="1">
        <f t="shared" si="76"/>
        <v>5745986</v>
      </c>
      <c r="L673" s="1">
        <v>11</v>
      </c>
      <c r="M673" s="1">
        <f t="shared" si="74"/>
        <v>4945912</v>
      </c>
      <c r="N673" s="1">
        <f t="shared" si="75"/>
        <v>4808250</v>
      </c>
      <c r="O673" s="4">
        <f t="shared" si="71"/>
        <v>0.97216650842150043</v>
      </c>
      <c r="P673" s="4">
        <f t="shared" si="72"/>
        <v>16.176470588235293</v>
      </c>
      <c r="Q673" s="4">
        <f t="shared" si="73"/>
        <v>8.7017267358465537E-5</v>
      </c>
    </row>
    <row r="674" spans="1:17">
      <c r="A674" s="1" t="s">
        <v>331</v>
      </c>
      <c r="B674" s="1" t="s">
        <v>14</v>
      </c>
      <c r="C674" s="1" t="s">
        <v>15</v>
      </c>
      <c r="D674" s="1" t="s">
        <v>392</v>
      </c>
      <c r="E674" s="1">
        <v>21057</v>
      </c>
      <c r="F674" s="1">
        <v>271466</v>
      </c>
      <c r="G674" s="1">
        <f t="shared" si="70"/>
        <v>292523</v>
      </c>
      <c r="H674" s="1">
        <v>53193</v>
      </c>
      <c r="I674" s="1">
        <v>20</v>
      </c>
      <c r="J674" s="1">
        <v>23</v>
      </c>
      <c r="K674" s="1">
        <f t="shared" si="76"/>
        <v>1223439</v>
      </c>
      <c r="L674" s="1">
        <v>32</v>
      </c>
      <c r="M674" s="1">
        <f t="shared" si="74"/>
        <v>-478737</v>
      </c>
      <c r="N674" s="1">
        <f t="shared" si="75"/>
        <v>-771260</v>
      </c>
      <c r="O674" s="4">
        <f t="shared" si="71"/>
        <v>-1.6110306911728152</v>
      </c>
      <c r="P674" s="4">
        <f t="shared" si="72"/>
        <v>-355.55555555555554</v>
      </c>
      <c r="Q674" s="4">
        <f t="shared" si="73"/>
        <v>1.6347361821880781E-3</v>
      </c>
    </row>
    <row r="675" spans="1:17">
      <c r="A675" s="1" t="s">
        <v>332</v>
      </c>
      <c r="B675" s="1" t="s">
        <v>17</v>
      </c>
      <c r="C675" s="1" t="s">
        <v>29</v>
      </c>
      <c r="D675" s="1" t="s">
        <v>392</v>
      </c>
      <c r="E675" s="1">
        <v>34003</v>
      </c>
      <c r="F675" s="1">
        <v>72039</v>
      </c>
      <c r="G675" s="1">
        <f t="shared" si="70"/>
        <v>106042</v>
      </c>
      <c r="H675" s="1">
        <v>23635</v>
      </c>
      <c r="I675" s="1">
        <v>0</v>
      </c>
      <c r="J675" s="1">
        <v>34</v>
      </c>
      <c r="K675" s="1">
        <f t="shared" si="76"/>
        <v>803590</v>
      </c>
      <c r="L675" s="1">
        <v>37</v>
      </c>
      <c r="M675" s="1">
        <f t="shared" si="74"/>
        <v>-70905</v>
      </c>
      <c r="N675" s="1">
        <f t="shared" si="75"/>
        <v>-176947</v>
      </c>
      <c r="O675" s="4">
        <f t="shared" si="71"/>
        <v>-2.4955503843170441</v>
      </c>
      <c r="P675" s="4">
        <f t="shared" si="72"/>
        <v>-1233.3333333333335</v>
      </c>
      <c r="Q675" s="4">
        <f t="shared" si="73"/>
        <v>0</v>
      </c>
    </row>
    <row r="676" spans="1:17">
      <c r="A676" s="1" t="s">
        <v>333</v>
      </c>
      <c r="B676" s="1" t="s">
        <v>17</v>
      </c>
      <c r="C676" s="1" t="s">
        <v>21</v>
      </c>
      <c r="D676" s="1" t="s">
        <v>392</v>
      </c>
      <c r="E676" s="1">
        <v>15419</v>
      </c>
      <c r="F676" s="1">
        <v>56526</v>
      </c>
      <c r="G676" s="1">
        <f t="shared" si="70"/>
        <v>71945</v>
      </c>
      <c r="H676" s="1">
        <v>73107</v>
      </c>
      <c r="I676" s="1">
        <v>5</v>
      </c>
      <c r="J676" s="1">
        <v>97</v>
      </c>
      <c r="K676" s="1">
        <f t="shared" si="76"/>
        <v>7091379</v>
      </c>
      <c r="L676" s="1">
        <v>37</v>
      </c>
      <c r="M676" s="1">
        <f t="shared" si="74"/>
        <v>4386420</v>
      </c>
      <c r="N676" s="1">
        <f t="shared" si="75"/>
        <v>4314475</v>
      </c>
      <c r="O676" s="4">
        <f t="shared" si="71"/>
        <v>0.98359824184642597</v>
      </c>
      <c r="P676" s="4">
        <f t="shared" si="72"/>
        <v>61.666666666666671</v>
      </c>
      <c r="Q676" s="4">
        <f t="shared" si="73"/>
        <v>7.0508147992090123E-5</v>
      </c>
    </row>
    <row r="677" spans="1:17">
      <c r="A677" s="1" t="s">
        <v>334</v>
      </c>
      <c r="B677" s="1" t="s">
        <v>26</v>
      </c>
      <c r="C677" s="1" t="s">
        <v>15</v>
      </c>
      <c r="D677" s="1" t="s">
        <v>391</v>
      </c>
      <c r="E677" s="1">
        <v>30739</v>
      </c>
      <c r="F677" s="1">
        <v>208969</v>
      </c>
      <c r="G677" s="1">
        <f t="shared" si="70"/>
        <v>239708</v>
      </c>
      <c r="H677" s="1">
        <v>64505</v>
      </c>
      <c r="I677" s="1">
        <v>20</v>
      </c>
      <c r="J677" s="1">
        <v>22</v>
      </c>
      <c r="K677" s="1">
        <f t="shared" si="76"/>
        <v>1419110</v>
      </c>
      <c r="L677" s="1">
        <v>20</v>
      </c>
      <c r="M677" s="1">
        <f t="shared" si="74"/>
        <v>129010</v>
      </c>
      <c r="N677" s="1">
        <f t="shared" si="75"/>
        <v>-110698</v>
      </c>
      <c r="O677" s="4">
        <f t="shared" si="71"/>
        <v>-0.85805751492132398</v>
      </c>
      <c r="P677" s="4">
        <f t="shared" si="72"/>
        <v>1000</v>
      </c>
      <c r="Q677" s="4">
        <f t="shared" si="73"/>
        <v>1.4093340192092227E-3</v>
      </c>
    </row>
    <row r="678" spans="1:17">
      <c r="A678" s="1" t="s">
        <v>335</v>
      </c>
      <c r="B678" s="1" t="s">
        <v>17</v>
      </c>
      <c r="C678" s="1" t="s">
        <v>15</v>
      </c>
      <c r="D678" s="1" t="s">
        <v>392</v>
      </c>
      <c r="E678" s="1">
        <v>28760</v>
      </c>
      <c r="F678" s="1">
        <v>146809</v>
      </c>
      <c r="G678" s="1">
        <f t="shared" si="70"/>
        <v>175569</v>
      </c>
      <c r="H678" s="1">
        <v>33132</v>
      </c>
      <c r="I678" s="1">
        <v>15</v>
      </c>
      <c r="J678" s="1">
        <v>111</v>
      </c>
      <c r="K678" s="1">
        <f t="shared" si="76"/>
        <v>3677652</v>
      </c>
      <c r="L678" s="1">
        <v>20</v>
      </c>
      <c r="M678" s="1">
        <f t="shared" si="74"/>
        <v>3015012</v>
      </c>
      <c r="N678" s="1">
        <f t="shared" si="75"/>
        <v>2839443</v>
      </c>
      <c r="O678" s="4">
        <f t="shared" si="71"/>
        <v>0.94176839097157827</v>
      </c>
      <c r="P678" s="4">
        <f t="shared" si="72"/>
        <v>21.978021978021978</v>
      </c>
      <c r="Q678" s="4">
        <f t="shared" si="73"/>
        <v>4.0786893376534812E-4</v>
      </c>
    </row>
    <row r="679" spans="1:17">
      <c r="A679" s="1" t="s">
        <v>336</v>
      </c>
      <c r="B679" s="1" t="s">
        <v>20</v>
      </c>
      <c r="C679" s="1" t="s">
        <v>122</v>
      </c>
      <c r="D679" s="1" t="s">
        <v>391</v>
      </c>
      <c r="E679" s="1">
        <v>19135</v>
      </c>
      <c r="F679" s="1">
        <v>320253</v>
      </c>
      <c r="G679" s="1">
        <f t="shared" si="70"/>
        <v>339388</v>
      </c>
      <c r="H679" s="1">
        <v>61466</v>
      </c>
      <c r="I679" s="1">
        <v>0</v>
      </c>
      <c r="J679" s="1">
        <v>107</v>
      </c>
      <c r="K679" s="1">
        <f t="shared" si="76"/>
        <v>6576862</v>
      </c>
      <c r="L679" s="1">
        <v>4</v>
      </c>
      <c r="M679" s="1">
        <f t="shared" si="74"/>
        <v>6330998</v>
      </c>
      <c r="N679" s="1">
        <f t="shared" si="75"/>
        <v>5991610</v>
      </c>
      <c r="O679" s="4">
        <f t="shared" si="71"/>
        <v>0.94639265404917206</v>
      </c>
      <c r="P679" s="4">
        <f t="shared" si="72"/>
        <v>3.8834951456310676</v>
      </c>
      <c r="Q679" s="4">
        <f t="shared" si="73"/>
        <v>0</v>
      </c>
    </row>
    <row r="680" spans="1:17">
      <c r="A680" s="1" t="s">
        <v>337</v>
      </c>
      <c r="B680" s="1" t="s">
        <v>20</v>
      </c>
      <c r="C680" s="1" t="s">
        <v>21</v>
      </c>
      <c r="D680" s="1" t="s">
        <v>392</v>
      </c>
      <c r="E680" s="1">
        <v>49359</v>
      </c>
      <c r="F680" s="1">
        <v>133187</v>
      </c>
      <c r="G680" s="1">
        <f t="shared" si="70"/>
        <v>182546</v>
      </c>
      <c r="H680" s="1">
        <v>56262</v>
      </c>
      <c r="I680" s="1">
        <v>5</v>
      </c>
      <c r="J680" s="1">
        <v>39</v>
      </c>
      <c r="K680" s="1">
        <f t="shared" si="76"/>
        <v>2194218</v>
      </c>
      <c r="L680" s="1">
        <v>30</v>
      </c>
      <c r="M680" s="1">
        <f t="shared" si="74"/>
        <v>506358</v>
      </c>
      <c r="N680" s="1">
        <f t="shared" si="75"/>
        <v>323812</v>
      </c>
      <c r="O680" s="4">
        <f t="shared" si="71"/>
        <v>0.63949221696902192</v>
      </c>
      <c r="P680" s="4">
        <f t="shared" si="72"/>
        <v>333.33333333333337</v>
      </c>
      <c r="Q680" s="4">
        <f t="shared" si="73"/>
        <v>2.2787161530896203E-4</v>
      </c>
    </row>
    <row r="681" spans="1:17">
      <c r="A681" s="1" t="s">
        <v>338</v>
      </c>
      <c r="B681" s="1" t="s">
        <v>14</v>
      </c>
      <c r="C681" s="1" t="s">
        <v>21</v>
      </c>
      <c r="D681" s="1" t="s">
        <v>391</v>
      </c>
      <c r="E681" s="1">
        <v>28401</v>
      </c>
      <c r="F681" s="1">
        <v>173832</v>
      </c>
      <c r="G681" s="1">
        <f t="shared" si="70"/>
        <v>202233</v>
      </c>
      <c r="H681" s="1">
        <v>25493</v>
      </c>
      <c r="I681" s="1">
        <v>10</v>
      </c>
      <c r="J681" s="1">
        <v>36</v>
      </c>
      <c r="K681" s="1">
        <f t="shared" si="76"/>
        <v>917748</v>
      </c>
      <c r="L681" s="1">
        <v>37</v>
      </c>
      <c r="M681" s="1">
        <f t="shared" si="74"/>
        <v>-25493</v>
      </c>
      <c r="N681" s="1">
        <f t="shared" si="75"/>
        <v>-227726</v>
      </c>
      <c r="O681" s="4">
        <f t="shared" si="71"/>
        <v>-8.9328835366571209</v>
      </c>
      <c r="P681" s="4">
        <f t="shared" si="72"/>
        <v>-3700</v>
      </c>
      <c r="Q681" s="4">
        <f t="shared" si="73"/>
        <v>1.0896237311331651E-3</v>
      </c>
    </row>
    <row r="682" spans="1:17">
      <c r="A682" s="1" t="s">
        <v>339</v>
      </c>
      <c r="B682" s="1" t="s">
        <v>17</v>
      </c>
      <c r="C682" s="1" t="s">
        <v>21</v>
      </c>
      <c r="D682" s="1" t="s">
        <v>392</v>
      </c>
      <c r="E682" s="1">
        <v>18950</v>
      </c>
      <c r="F682" s="1">
        <v>132188</v>
      </c>
      <c r="G682" s="1">
        <f t="shared" si="70"/>
        <v>151138</v>
      </c>
      <c r="H682" s="1">
        <v>41793</v>
      </c>
      <c r="I682" s="1">
        <v>0</v>
      </c>
      <c r="J682" s="1">
        <v>109</v>
      </c>
      <c r="K682" s="1">
        <f t="shared" si="76"/>
        <v>4555437</v>
      </c>
      <c r="L682" s="1">
        <v>1</v>
      </c>
      <c r="M682" s="1">
        <f t="shared" si="74"/>
        <v>4513644</v>
      </c>
      <c r="N682" s="1">
        <f t="shared" si="75"/>
        <v>4362506</v>
      </c>
      <c r="O682" s="4">
        <f t="shared" si="71"/>
        <v>0.9665153033779359</v>
      </c>
      <c r="P682" s="4">
        <f t="shared" si="72"/>
        <v>0.92592592592592582</v>
      </c>
      <c r="Q682" s="4">
        <f t="shared" si="73"/>
        <v>0</v>
      </c>
    </row>
    <row r="683" spans="1:17">
      <c r="A683" s="1" t="s">
        <v>340</v>
      </c>
      <c r="B683" s="1" t="s">
        <v>26</v>
      </c>
      <c r="C683" s="1" t="s">
        <v>18</v>
      </c>
      <c r="D683" s="1" t="s">
        <v>392</v>
      </c>
      <c r="E683" s="1">
        <v>18088</v>
      </c>
      <c r="F683" s="1">
        <v>360856</v>
      </c>
      <c r="G683" s="1">
        <f t="shared" si="70"/>
        <v>378944</v>
      </c>
      <c r="H683" s="1">
        <v>78398</v>
      </c>
      <c r="I683" s="1">
        <v>0</v>
      </c>
      <c r="J683" s="1">
        <v>41</v>
      </c>
      <c r="K683" s="1">
        <f t="shared" si="76"/>
        <v>3214318</v>
      </c>
      <c r="L683" s="1">
        <v>27</v>
      </c>
      <c r="M683" s="1">
        <f t="shared" si="74"/>
        <v>1097572</v>
      </c>
      <c r="N683" s="1">
        <f t="shared" si="75"/>
        <v>718628</v>
      </c>
      <c r="O683" s="4">
        <f t="shared" si="71"/>
        <v>0.65474337902205959</v>
      </c>
      <c r="P683" s="4">
        <f t="shared" si="72"/>
        <v>192.85714285714286</v>
      </c>
      <c r="Q683" s="4">
        <f t="shared" si="73"/>
        <v>0</v>
      </c>
    </row>
    <row r="684" spans="1:17">
      <c r="A684" s="1" t="s">
        <v>341</v>
      </c>
      <c r="B684" s="1" t="s">
        <v>20</v>
      </c>
      <c r="C684" s="1" t="s">
        <v>21</v>
      </c>
      <c r="D684" s="1" t="s">
        <v>391</v>
      </c>
      <c r="E684" s="1">
        <v>27867</v>
      </c>
      <c r="F684" s="1">
        <v>87270</v>
      </c>
      <c r="G684" s="1">
        <f t="shared" si="70"/>
        <v>115137</v>
      </c>
      <c r="H684" s="1">
        <v>47977</v>
      </c>
      <c r="I684" s="1">
        <v>20</v>
      </c>
      <c r="J684" s="1">
        <v>87</v>
      </c>
      <c r="K684" s="1">
        <f t="shared" si="76"/>
        <v>4173999</v>
      </c>
      <c r="L684" s="1">
        <v>16</v>
      </c>
      <c r="M684" s="1">
        <f t="shared" si="74"/>
        <v>3406367</v>
      </c>
      <c r="N684" s="1">
        <f t="shared" si="75"/>
        <v>3291230</v>
      </c>
      <c r="O684" s="4">
        <f t="shared" si="71"/>
        <v>0.96619947292819597</v>
      </c>
      <c r="P684" s="4">
        <f t="shared" si="72"/>
        <v>22.535211267605636</v>
      </c>
      <c r="Q684" s="4">
        <f t="shared" si="73"/>
        <v>4.791567990313366E-4</v>
      </c>
    </row>
    <row r="685" spans="1:17">
      <c r="A685" s="1" t="s">
        <v>342</v>
      </c>
      <c r="B685" s="1" t="s">
        <v>26</v>
      </c>
      <c r="C685" s="1" t="s">
        <v>29</v>
      </c>
      <c r="D685" s="1" t="s">
        <v>392</v>
      </c>
      <c r="E685" s="1">
        <v>12071</v>
      </c>
      <c r="F685" s="1">
        <v>371498</v>
      </c>
      <c r="G685" s="1">
        <f t="shared" si="70"/>
        <v>383569</v>
      </c>
      <c r="H685" s="1">
        <v>32927</v>
      </c>
      <c r="I685" s="1">
        <v>15</v>
      </c>
      <c r="J685" s="1">
        <v>56</v>
      </c>
      <c r="K685" s="1">
        <f t="shared" si="76"/>
        <v>1843912</v>
      </c>
      <c r="L685" s="1">
        <v>29</v>
      </c>
      <c r="M685" s="1">
        <f t="shared" si="74"/>
        <v>889029</v>
      </c>
      <c r="N685" s="1">
        <f t="shared" si="75"/>
        <v>505460</v>
      </c>
      <c r="O685" s="4">
        <f t="shared" si="71"/>
        <v>0.56855288185199804</v>
      </c>
      <c r="P685" s="4">
        <f t="shared" si="72"/>
        <v>107.40740740740742</v>
      </c>
      <c r="Q685" s="4">
        <f t="shared" si="73"/>
        <v>8.1348784540693911E-4</v>
      </c>
    </row>
    <row r="686" spans="1:17">
      <c r="A686" s="1" t="s">
        <v>343</v>
      </c>
      <c r="B686" s="1" t="s">
        <v>26</v>
      </c>
      <c r="C686" s="1" t="s">
        <v>21</v>
      </c>
      <c r="D686" s="1" t="s">
        <v>391</v>
      </c>
      <c r="E686" s="1">
        <v>5618</v>
      </c>
      <c r="F686" s="1">
        <v>393843</v>
      </c>
      <c r="G686" s="1">
        <f t="shared" si="70"/>
        <v>399461</v>
      </c>
      <c r="H686" s="1">
        <v>56188</v>
      </c>
      <c r="I686" s="1">
        <v>20</v>
      </c>
      <c r="J686" s="1">
        <v>31</v>
      </c>
      <c r="K686" s="1">
        <f t="shared" si="76"/>
        <v>1741828</v>
      </c>
      <c r="L686" s="1">
        <v>22</v>
      </c>
      <c r="M686" s="1">
        <f t="shared" si="74"/>
        <v>505692</v>
      </c>
      <c r="N686" s="1">
        <f t="shared" si="75"/>
        <v>106231</v>
      </c>
      <c r="O686" s="4">
        <f t="shared" si="71"/>
        <v>0.21007055678159828</v>
      </c>
      <c r="P686" s="4">
        <f t="shared" si="72"/>
        <v>244.44444444444446</v>
      </c>
      <c r="Q686" s="4">
        <f t="shared" si="73"/>
        <v>1.1482189975129578E-3</v>
      </c>
    </row>
    <row r="687" spans="1:17">
      <c r="A687" s="1" t="s">
        <v>344</v>
      </c>
      <c r="B687" s="1" t="s">
        <v>20</v>
      </c>
      <c r="C687" s="1" t="s">
        <v>29</v>
      </c>
      <c r="D687" s="1" t="s">
        <v>392</v>
      </c>
      <c r="E687" s="1">
        <v>40888</v>
      </c>
      <c r="F687" s="1">
        <v>113262</v>
      </c>
      <c r="G687" s="1">
        <f t="shared" si="70"/>
        <v>154150</v>
      </c>
      <c r="H687" s="1">
        <v>13352</v>
      </c>
      <c r="I687" s="1">
        <v>5</v>
      </c>
      <c r="J687" s="1">
        <v>74</v>
      </c>
      <c r="K687" s="1">
        <f t="shared" si="76"/>
        <v>988048</v>
      </c>
      <c r="L687" s="1">
        <v>36</v>
      </c>
      <c r="M687" s="1">
        <f t="shared" si="74"/>
        <v>507376</v>
      </c>
      <c r="N687" s="1">
        <f t="shared" si="75"/>
        <v>353226</v>
      </c>
      <c r="O687" s="4">
        <f t="shared" si="71"/>
        <v>0.69618192425341363</v>
      </c>
      <c r="P687" s="4">
        <f t="shared" si="72"/>
        <v>94.73684210526315</v>
      </c>
      <c r="Q687" s="4">
        <f t="shared" si="73"/>
        <v>5.0604828915194408E-4</v>
      </c>
    </row>
    <row r="688" spans="1:17">
      <c r="A688" s="1" t="s">
        <v>345</v>
      </c>
      <c r="B688" s="1" t="s">
        <v>14</v>
      </c>
      <c r="C688" s="1" t="s">
        <v>21</v>
      </c>
      <c r="D688" s="1" t="s">
        <v>391</v>
      </c>
      <c r="E688" s="1">
        <v>21758</v>
      </c>
      <c r="F688" s="1">
        <v>364427</v>
      </c>
      <c r="G688" s="1">
        <f t="shared" si="70"/>
        <v>386185</v>
      </c>
      <c r="H688" s="1">
        <v>19711</v>
      </c>
      <c r="I688" s="1">
        <v>5</v>
      </c>
      <c r="J688" s="1">
        <v>24</v>
      </c>
      <c r="K688" s="1">
        <f t="shared" si="76"/>
        <v>473064</v>
      </c>
      <c r="L688" s="1">
        <v>95</v>
      </c>
      <c r="M688" s="1">
        <f t="shared" si="74"/>
        <v>-1399481</v>
      </c>
      <c r="N688" s="1">
        <f t="shared" si="75"/>
        <v>-1785666</v>
      </c>
      <c r="O688" s="4">
        <f t="shared" si="71"/>
        <v>-1.2759487267065432</v>
      </c>
      <c r="P688" s="4">
        <f t="shared" si="72"/>
        <v>-133.80281690140845</v>
      </c>
      <c r="Q688" s="4">
        <f t="shared" si="73"/>
        <v>1.0569394415977543E-3</v>
      </c>
    </row>
    <row r="689" spans="1:17">
      <c r="A689" s="1" t="s">
        <v>346</v>
      </c>
      <c r="B689" s="1" t="s">
        <v>17</v>
      </c>
      <c r="C689" s="1" t="s">
        <v>18</v>
      </c>
      <c r="D689" s="1" t="s">
        <v>391</v>
      </c>
      <c r="E689" s="1">
        <v>5810</v>
      </c>
      <c r="F689" s="1">
        <v>125245</v>
      </c>
      <c r="G689" s="1">
        <f t="shared" si="70"/>
        <v>131055</v>
      </c>
      <c r="H689" s="1">
        <v>54960</v>
      </c>
      <c r="I689" s="1">
        <v>0</v>
      </c>
      <c r="J689" s="1">
        <v>131</v>
      </c>
      <c r="K689" s="1">
        <f t="shared" si="76"/>
        <v>7199760</v>
      </c>
      <c r="L689" s="1">
        <v>30</v>
      </c>
      <c r="M689" s="1">
        <f t="shared" si="74"/>
        <v>5550960</v>
      </c>
      <c r="N689" s="1">
        <f t="shared" si="75"/>
        <v>5419905</v>
      </c>
      <c r="O689" s="4">
        <f t="shared" si="71"/>
        <v>0.97639057027973541</v>
      </c>
      <c r="P689" s="4">
        <f t="shared" si="72"/>
        <v>29.702970297029701</v>
      </c>
      <c r="Q689" s="4">
        <f t="shared" si="73"/>
        <v>0</v>
      </c>
    </row>
    <row r="690" spans="1:17">
      <c r="A690" s="1" t="s">
        <v>347</v>
      </c>
      <c r="B690" s="1" t="s">
        <v>17</v>
      </c>
      <c r="C690" s="1" t="s">
        <v>15</v>
      </c>
      <c r="D690" s="1" t="s">
        <v>392</v>
      </c>
      <c r="E690" s="1">
        <v>17378</v>
      </c>
      <c r="F690" s="1">
        <v>316829</v>
      </c>
      <c r="G690" s="1">
        <f t="shared" si="70"/>
        <v>334207</v>
      </c>
      <c r="H690" s="1">
        <v>49808</v>
      </c>
      <c r="I690" s="1">
        <v>15</v>
      </c>
      <c r="J690" s="1">
        <v>146</v>
      </c>
      <c r="K690" s="1">
        <f t="shared" si="76"/>
        <v>7271968</v>
      </c>
      <c r="L690" s="1">
        <v>1</v>
      </c>
      <c r="M690" s="1">
        <f t="shared" si="74"/>
        <v>7222160</v>
      </c>
      <c r="N690" s="1">
        <f t="shared" si="75"/>
        <v>6887953</v>
      </c>
      <c r="O690" s="4">
        <f t="shared" si="71"/>
        <v>0.95372478593661725</v>
      </c>
      <c r="P690" s="4">
        <f t="shared" si="72"/>
        <v>0.68965517241379315</v>
      </c>
      <c r="Q690" s="4">
        <f t="shared" si="73"/>
        <v>2.0627153474822774E-4</v>
      </c>
    </row>
    <row r="691" spans="1:17">
      <c r="A691" s="1" t="s">
        <v>348</v>
      </c>
      <c r="B691" s="1" t="s">
        <v>17</v>
      </c>
      <c r="C691" s="1" t="s">
        <v>18</v>
      </c>
      <c r="D691" s="1" t="s">
        <v>391</v>
      </c>
      <c r="E691" s="1">
        <v>29639</v>
      </c>
      <c r="F691" s="1">
        <v>198807</v>
      </c>
      <c r="G691" s="1">
        <f t="shared" si="70"/>
        <v>228446</v>
      </c>
      <c r="H691" s="1">
        <v>33365</v>
      </c>
      <c r="I691" s="1">
        <v>10</v>
      </c>
      <c r="J691" s="1">
        <v>123</v>
      </c>
      <c r="K691" s="1">
        <f t="shared" si="76"/>
        <v>4103895</v>
      </c>
      <c r="L691" s="1">
        <v>6</v>
      </c>
      <c r="M691" s="1">
        <f t="shared" si="74"/>
        <v>3903705</v>
      </c>
      <c r="N691" s="1">
        <f t="shared" si="75"/>
        <v>3675259</v>
      </c>
      <c r="O691" s="4">
        <f t="shared" si="71"/>
        <v>0.9414796968520931</v>
      </c>
      <c r="P691" s="4">
        <f t="shared" si="72"/>
        <v>5.1282051282051277</v>
      </c>
      <c r="Q691" s="4">
        <f t="shared" si="73"/>
        <v>2.4367095162035091E-4</v>
      </c>
    </row>
    <row r="692" spans="1:17">
      <c r="A692" s="1" t="s">
        <v>349</v>
      </c>
      <c r="B692" s="1" t="s">
        <v>26</v>
      </c>
      <c r="C692" s="1" t="s">
        <v>15</v>
      </c>
      <c r="D692" s="1" t="s">
        <v>392</v>
      </c>
      <c r="E692" s="1">
        <v>14312</v>
      </c>
      <c r="F692" s="1">
        <v>227086</v>
      </c>
      <c r="G692" s="1">
        <f t="shared" si="70"/>
        <v>241398</v>
      </c>
      <c r="H692" s="1">
        <v>52696</v>
      </c>
      <c r="I692" s="1">
        <v>5</v>
      </c>
      <c r="J692" s="1">
        <v>64</v>
      </c>
      <c r="K692" s="1">
        <f t="shared" si="76"/>
        <v>3372544</v>
      </c>
      <c r="L692" s="1">
        <v>8</v>
      </c>
      <c r="M692" s="1">
        <f t="shared" si="74"/>
        <v>2950976</v>
      </c>
      <c r="N692" s="1">
        <f t="shared" si="75"/>
        <v>2709578</v>
      </c>
      <c r="O692" s="4">
        <f t="shared" si="71"/>
        <v>0.91819723372877315</v>
      </c>
      <c r="P692" s="4">
        <f t="shared" si="72"/>
        <v>14.285714285714285</v>
      </c>
      <c r="Q692" s="4">
        <f t="shared" si="73"/>
        <v>1.4825603461363291E-4</v>
      </c>
    </row>
    <row r="693" spans="1:17">
      <c r="A693" s="1" t="s">
        <v>350</v>
      </c>
      <c r="B693" s="1" t="s">
        <v>14</v>
      </c>
      <c r="C693" s="1" t="s">
        <v>21</v>
      </c>
      <c r="D693" s="1" t="s">
        <v>391</v>
      </c>
      <c r="E693" s="1">
        <v>47172</v>
      </c>
      <c r="F693" s="1">
        <v>160348</v>
      </c>
      <c r="G693" s="1">
        <f t="shared" si="70"/>
        <v>207520</v>
      </c>
      <c r="H693" s="1">
        <v>78811</v>
      </c>
      <c r="I693" s="1">
        <v>0</v>
      </c>
      <c r="J693" s="1">
        <v>138</v>
      </c>
      <c r="K693" s="1">
        <f t="shared" si="76"/>
        <v>10875918</v>
      </c>
      <c r="L693" s="1">
        <v>24</v>
      </c>
      <c r="M693" s="1">
        <f t="shared" si="74"/>
        <v>8984454</v>
      </c>
      <c r="N693" s="1">
        <f t="shared" si="75"/>
        <v>8776934</v>
      </c>
      <c r="O693" s="4">
        <f t="shared" si="71"/>
        <v>0.97690232483799233</v>
      </c>
      <c r="P693" s="4">
        <f t="shared" si="72"/>
        <v>21.052631578947366</v>
      </c>
      <c r="Q693" s="4">
        <f t="shared" si="73"/>
        <v>0</v>
      </c>
    </row>
    <row r="694" spans="1:17">
      <c r="A694" s="1" t="s">
        <v>351</v>
      </c>
      <c r="B694" s="1" t="s">
        <v>20</v>
      </c>
      <c r="C694" s="1" t="s">
        <v>18</v>
      </c>
      <c r="D694" s="1" t="s">
        <v>391</v>
      </c>
      <c r="E694" s="1">
        <v>28089</v>
      </c>
      <c r="F694" s="1">
        <v>95309</v>
      </c>
      <c r="G694" s="1">
        <f t="shared" si="70"/>
        <v>123398</v>
      </c>
      <c r="H694" s="1">
        <v>54507</v>
      </c>
      <c r="I694" s="1">
        <v>20</v>
      </c>
      <c r="J694" s="1">
        <v>48</v>
      </c>
      <c r="K694" s="1">
        <f t="shared" si="76"/>
        <v>2616336</v>
      </c>
      <c r="L694" s="1">
        <v>36</v>
      </c>
      <c r="M694" s="1">
        <f t="shared" si="74"/>
        <v>654084</v>
      </c>
      <c r="N694" s="1">
        <f t="shared" si="75"/>
        <v>530686</v>
      </c>
      <c r="O694" s="4">
        <f t="shared" si="71"/>
        <v>0.8113422740810049</v>
      </c>
      <c r="P694" s="4">
        <f t="shared" si="72"/>
        <v>300</v>
      </c>
      <c r="Q694" s="4">
        <f t="shared" si="73"/>
        <v>7.6442781049528799E-4</v>
      </c>
    </row>
    <row r="695" spans="1:17">
      <c r="A695" s="1" t="s">
        <v>352</v>
      </c>
      <c r="B695" s="1" t="s">
        <v>20</v>
      </c>
      <c r="C695" s="1" t="s">
        <v>29</v>
      </c>
      <c r="D695" s="1" t="s">
        <v>391</v>
      </c>
      <c r="E695" s="1">
        <v>16063</v>
      </c>
      <c r="F695" s="1">
        <v>110117</v>
      </c>
      <c r="G695" s="1">
        <f t="shared" si="70"/>
        <v>126180</v>
      </c>
      <c r="H695" s="1">
        <v>80503</v>
      </c>
      <c r="I695" s="1">
        <v>0</v>
      </c>
      <c r="J695" s="1">
        <v>31</v>
      </c>
      <c r="K695" s="1">
        <f t="shared" si="76"/>
        <v>2495593</v>
      </c>
      <c r="L695" s="1">
        <v>32</v>
      </c>
      <c r="M695" s="1">
        <f t="shared" si="74"/>
        <v>-80503</v>
      </c>
      <c r="N695" s="1">
        <f t="shared" si="75"/>
        <v>-206683</v>
      </c>
      <c r="O695" s="4">
        <f t="shared" si="71"/>
        <v>-2.5673950039128979</v>
      </c>
      <c r="P695" s="4">
        <f t="shared" si="72"/>
        <v>-3200</v>
      </c>
      <c r="Q695" s="4">
        <f t="shared" si="73"/>
        <v>0</v>
      </c>
    </row>
    <row r="696" spans="1:17">
      <c r="A696" s="1" t="s">
        <v>353</v>
      </c>
      <c r="B696" s="1" t="s">
        <v>14</v>
      </c>
      <c r="C696" s="1" t="s">
        <v>18</v>
      </c>
      <c r="D696" s="1" t="s">
        <v>391</v>
      </c>
      <c r="E696" s="1">
        <v>30054</v>
      </c>
      <c r="F696" s="1">
        <v>77487</v>
      </c>
      <c r="G696" s="1">
        <f t="shared" si="70"/>
        <v>107541</v>
      </c>
      <c r="H696" s="1">
        <v>50436</v>
      </c>
      <c r="I696" s="1">
        <v>15</v>
      </c>
      <c r="J696" s="1">
        <v>116</v>
      </c>
      <c r="K696" s="1">
        <f t="shared" si="76"/>
        <v>5850576</v>
      </c>
      <c r="L696" s="1">
        <v>3</v>
      </c>
      <c r="M696" s="1">
        <f t="shared" si="74"/>
        <v>5699268</v>
      </c>
      <c r="N696" s="1">
        <f t="shared" si="75"/>
        <v>5591727</v>
      </c>
      <c r="O696" s="4">
        <f t="shared" si="71"/>
        <v>0.9811307346838225</v>
      </c>
      <c r="P696" s="4">
        <f t="shared" si="72"/>
        <v>2.6548672566371683</v>
      </c>
      <c r="Q696" s="4">
        <f t="shared" si="73"/>
        <v>2.5638501234750218E-4</v>
      </c>
    </row>
    <row r="697" spans="1:17">
      <c r="A697" s="1" t="s">
        <v>354</v>
      </c>
      <c r="B697" s="1" t="s">
        <v>17</v>
      </c>
      <c r="C697" s="1" t="s">
        <v>18</v>
      </c>
      <c r="D697" s="1" t="s">
        <v>391</v>
      </c>
      <c r="E697" s="1">
        <v>39499</v>
      </c>
      <c r="F697" s="1">
        <v>190671</v>
      </c>
      <c r="G697" s="1">
        <f t="shared" si="70"/>
        <v>230170</v>
      </c>
      <c r="H697" s="1">
        <v>20194</v>
      </c>
      <c r="I697" s="1">
        <v>0</v>
      </c>
      <c r="J697" s="1">
        <v>123</v>
      </c>
      <c r="K697" s="1">
        <f t="shared" si="76"/>
        <v>2483862</v>
      </c>
      <c r="L697" s="1">
        <v>22</v>
      </c>
      <c r="M697" s="1">
        <f t="shared" si="74"/>
        <v>2039594</v>
      </c>
      <c r="N697" s="1">
        <f t="shared" si="75"/>
        <v>1809424</v>
      </c>
      <c r="O697" s="4">
        <f t="shared" si="71"/>
        <v>0.88714910908739686</v>
      </c>
      <c r="P697" s="4">
        <f t="shared" si="72"/>
        <v>21.782178217821784</v>
      </c>
      <c r="Q697" s="4">
        <f t="shared" si="73"/>
        <v>0</v>
      </c>
    </row>
    <row r="698" spans="1:17">
      <c r="A698" s="1" t="s">
        <v>355</v>
      </c>
      <c r="B698" s="1" t="s">
        <v>14</v>
      </c>
      <c r="C698" s="1" t="s">
        <v>122</v>
      </c>
      <c r="D698" s="1" t="s">
        <v>392</v>
      </c>
      <c r="E698" s="1">
        <v>15811</v>
      </c>
      <c r="F698" s="1">
        <v>280773</v>
      </c>
      <c r="G698" s="1">
        <f t="shared" si="70"/>
        <v>296584</v>
      </c>
      <c r="H698" s="1">
        <v>43424</v>
      </c>
      <c r="I698" s="1">
        <v>20</v>
      </c>
      <c r="J698" s="1">
        <v>122</v>
      </c>
      <c r="K698" s="1">
        <f t="shared" si="76"/>
        <v>5297728</v>
      </c>
      <c r="L698" s="1">
        <v>28</v>
      </c>
      <c r="M698" s="1">
        <f t="shared" si="74"/>
        <v>4081856</v>
      </c>
      <c r="N698" s="1">
        <f t="shared" si="75"/>
        <v>3785272</v>
      </c>
      <c r="O698" s="4">
        <f t="shared" si="71"/>
        <v>0.92734089590617597</v>
      </c>
      <c r="P698" s="4">
        <f t="shared" si="72"/>
        <v>29.787234042553191</v>
      </c>
      <c r="Q698" s="4">
        <f t="shared" si="73"/>
        <v>3.7752032569433538E-4</v>
      </c>
    </row>
    <row r="699" spans="1:17">
      <c r="A699" s="1" t="s">
        <v>356</v>
      </c>
      <c r="B699" s="1" t="s">
        <v>14</v>
      </c>
      <c r="C699" s="1" t="s">
        <v>18</v>
      </c>
      <c r="D699" s="1" t="s">
        <v>392</v>
      </c>
      <c r="E699" s="1">
        <v>45381</v>
      </c>
      <c r="F699" s="1">
        <v>338740</v>
      </c>
      <c r="G699" s="1">
        <f t="shared" si="70"/>
        <v>384121</v>
      </c>
      <c r="H699" s="1">
        <v>22850</v>
      </c>
      <c r="I699" s="1">
        <v>10</v>
      </c>
      <c r="J699" s="1">
        <v>14</v>
      </c>
      <c r="K699" s="1">
        <f t="shared" si="76"/>
        <v>319900</v>
      </c>
      <c r="L699" s="1">
        <v>1</v>
      </c>
      <c r="M699" s="1">
        <f t="shared" si="74"/>
        <v>297050</v>
      </c>
      <c r="N699" s="1">
        <f t="shared" si="75"/>
        <v>-87071</v>
      </c>
      <c r="O699" s="4">
        <f t="shared" si="71"/>
        <v>-0.29311900353475845</v>
      </c>
      <c r="P699" s="4">
        <f t="shared" si="72"/>
        <v>7.6923076923076925</v>
      </c>
      <c r="Q699" s="4">
        <f t="shared" si="73"/>
        <v>3.1259768677711786E-3</v>
      </c>
    </row>
    <row r="700" spans="1:17">
      <c r="A700" s="1" t="s">
        <v>357</v>
      </c>
      <c r="B700" s="1" t="s">
        <v>26</v>
      </c>
      <c r="C700" s="1" t="s">
        <v>21</v>
      </c>
      <c r="D700" s="1" t="s">
        <v>391</v>
      </c>
      <c r="E700" s="1">
        <v>42400</v>
      </c>
      <c r="F700" s="1">
        <v>101128</v>
      </c>
      <c r="G700" s="1">
        <f t="shared" si="70"/>
        <v>143528</v>
      </c>
      <c r="H700" s="1">
        <v>59718</v>
      </c>
      <c r="I700" s="1">
        <v>15</v>
      </c>
      <c r="J700" s="1">
        <v>145</v>
      </c>
      <c r="K700" s="1">
        <f t="shared" si="76"/>
        <v>8659110</v>
      </c>
      <c r="L700" s="1">
        <v>38</v>
      </c>
      <c r="M700" s="1">
        <f t="shared" si="74"/>
        <v>6389826</v>
      </c>
      <c r="N700" s="1">
        <f t="shared" si="75"/>
        <v>6246298</v>
      </c>
      <c r="O700" s="4">
        <f t="shared" si="71"/>
        <v>0.97753804250694776</v>
      </c>
      <c r="P700" s="4">
        <f t="shared" si="72"/>
        <v>35.514018691588781</v>
      </c>
      <c r="Q700" s="4">
        <f t="shared" si="73"/>
        <v>1.7322796453677112E-4</v>
      </c>
    </row>
    <row r="701" spans="1:17">
      <c r="A701" s="1" t="s">
        <v>358</v>
      </c>
      <c r="B701" s="1" t="s">
        <v>14</v>
      </c>
      <c r="C701" s="1" t="s">
        <v>18</v>
      </c>
      <c r="D701" s="1" t="s">
        <v>392</v>
      </c>
      <c r="E701" s="1">
        <v>18049</v>
      </c>
      <c r="F701" s="1">
        <v>391506</v>
      </c>
      <c r="G701" s="1">
        <f t="shared" si="70"/>
        <v>409555</v>
      </c>
      <c r="H701" s="1">
        <v>76450</v>
      </c>
      <c r="I701" s="1">
        <v>20</v>
      </c>
      <c r="J701" s="1">
        <v>36</v>
      </c>
      <c r="K701" s="1">
        <f t="shared" si="76"/>
        <v>2752200</v>
      </c>
      <c r="L701" s="1">
        <v>40</v>
      </c>
      <c r="M701" s="1">
        <f t="shared" si="74"/>
        <v>-305800</v>
      </c>
      <c r="N701" s="1">
        <f t="shared" si="75"/>
        <v>-715355</v>
      </c>
      <c r="O701" s="4">
        <f t="shared" si="71"/>
        <v>-2.3392903858731198</v>
      </c>
      <c r="P701" s="4">
        <f t="shared" si="72"/>
        <v>-1000</v>
      </c>
      <c r="Q701" s="4">
        <f t="shared" si="73"/>
        <v>7.2669137417338857E-4</v>
      </c>
    </row>
    <row r="702" spans="1:17">
      <c r="A702" s="1" t="s">
        <v>359</v>
      </c>
      <c r="B702" s="1" t="s">
        <v>14</v>
      </c>
      <c r="C702" s="1" t="s">
        <v>29</v>
      </c>
      <c r="D702" s="1" t="s">
        <v>391</v>
      </c>
      <c r="E702" s="1">
        <v>24546</v>
      </c>
      <c r="F702" s="1">
        <v>148489</v>
      </c>
      <c r="G702" s="1">
        <f t="shared" si="70"/>
        <v>173035</v>
      </c>
      <c r="H702" s="1">
        <v>46692</v>
      </c>
      <c r="I702" s="1">
        <v>15</v>
      </c>
      <c r="J702" s="1">
        <v>144</v>
      </c>
      <c r="K702" s="1">
        <f t="shared" si="76"/>
        <v>6723648</v>
      </c>
      <c r="L702" s="1">
        <v>5</v>
      </c>
      <c r="M702" s="1">
        <f t="shared" si="74"/>
        <v>6490188</v>
      </c>
      <c r="N702" s="1">
        <f t="shared" si="75"/>
        <v>6317153</v>
      </c>
      <c r="O702" s="4">
        <f t="shared" si="71"/>
        <v>0.97333898494157645</v>
      </c>
      <c r="P702" s="4">
        <f t="shared" si="72"/>
        <v>3.5971223021582732</v>
      </c>
      <c r="Q702" s="4">
        <f t="shared" si="73"/>
        <v>2.2309317798909162E-4</v>
      </c>
    </row>
    <row r="703" spans="1:17">
      <c r="A703" s="1" t="s">
        <v>360</v>
      </c>
      <c r="B703" s="1" t="s">
        <v>20</v>
      </c>
      <c r="C703" s="1" t="s">
        <v>21</v>
      </c>
      <c r="D703" s="1" t="s">
        <v>391</v>
      </c>
      <c r="E703" s="1">
        <v>27575</v>
      </c>
      <c r="F703" s="1">
        <v>386907</v>
      </c>
      <c r="G703" s="1">
        <f t="shared" si="70"/>
        <v>414482</v>
      </c>
      <c r="H703" s="1">
        <v>70721</v>
      </c>
      <c r="I703" s="1">
        <v>10</v>
      </c>
      <c r="J703" s="1">
        <v>133</v>
      </c>
      <c r="K703" s="1">
        <f t="shared" si="76"/>
        <v>9405893</v>
      </c>
      <c r="L703" s="1">
        <v>21</v>
      </c>
      <c r="M703" s="1">
        <f t="shared" si="74"/>
        <v>7920752</v>
      </c>
      <c r="N703" s="1">
        <f t="shared" si="75"/>
        <v>7506270</v>
      </c>
      <c r="O703" s="4">
        <f t="shared" si="71"/>
        <v>0.94767138271719653</v>
      </c>
      <c r="P703" s="4">
        <f t="shared" si="72"/>
        <v>18.75</v>
      </c>
      <c r="Q703" s="4">
        <f t="shared" si="73"/>
        <v>1.0631632743430103E-4</v>
      </c>
    </row>
    <row r="704" spans="1:17">
      <c r="A704" s="1" t="s">
        <v>361</v>
      </c>
      <c r="B704" s="1" t="s">
        <v>14</v>
      </c>
      <c r="C704" s="1" t="s">
        <v>15</v>
      </c>
      <c r="D704" s="1" t="s">
        <v>392</v>
      </c>
      <c r="E704" s="1">
        <v>43758</v>
      </c>
      <c r="F704" s="1">
        <v>80132</v>
      </c>
      <c r="G704" s="1">
        <f t="shared" si="70"/>
        <v>123890</v>
      </c>
      <c r="H704" s="1">
        <v>28559</v>
      </c>
      <c r="I704" s="1">
        <v>10</v>
      </c>
      <c r="J704" s="1">
        <v>17</v>
      </c>
      <c r="K704" s="1">
        <f t="shared" si="76"/>
        <v>485503</v>
      </c>
      <c r="L704" s="1">
        <v>39</v>
      </c>
      <c r="M704" s="1">
        <f t="shared" si="74"/>
        <v>-628298</v>
      </c>
      <c r="N704" s="1">
        <f t="shared" si="75"/>
        <v>-752188</v>
      </c>
      <c r="O704" s="4">
        <f t="shared" si="71"/>
        <v>-1.197183502096139</v>
      </c>
      <c r="P704" s="4">
        <f t="shared" si="72"/>
        <v>-177.27272727272728</v>
      </c>
      <c r="Q704" s="4">
        <f t="shared" si="73"/>
        <v>2.0597195073974828E-3</v>
      </c>
    </row>
    <row r="705" spans="1:17">
      <c r="A705" s="1" t="s">
        <v>362</v>
      </c>
      <c r="B705" s="1" t="s">
        <v>14</v>
      </c>
      <c r="C705" s="1" t="s">
        <v>18</v>
      </c>
      <c r="D705" s="1" t="s">
        <v>392</v>
      </c>
      <c r="E705" s="1">
        <v>42483</v>
      </c>
      <c r="F705" s="1">
        <v>269044</v>
      </c>
      <c r="G705" s="1">
        <f t="shared" si="70"/>
        <v>311527</v>
      </c>
      <c r="H705" s="1">
        <v>28404</v>
      </c>
      <c r="I705" s="1">
        <v>15</v>
      </c>
      <c r="J705" s="1">
        <v>23</v>
      </c>
      <c r="K705" s="1">
        <f t="shared" si="76"/>
        <v>653292</v>
      </c>
      <c r="L705" s="1">
        <v>28</v>
      </c>
      <c r="M705" s="1">
        <f t="shared" si="74"/>
        <v>-142020</v>
      </c>
      <c r="N705" s="1">
        <f t="shared" si="75"/>
        <v>-453547</v>
      </c>
      <c r="O705" s="4">
        <f t="shared" si="71"/>
        <v>-3.1935431629347981</v>
      </c>
      <c r="P705" s="4">
        <f t="shared" si="72"/>
        <v>-560</v>
      </c>
      <c r="Q705" s="4">
        <f t="shared" si="73"/>
        <v>2.2960636285152733E-3</v>
      </c>
    </row>
    <row r="706" spans="1:17">
      <c r="A706" s="1" t="s">
        <v>363</v>
      </c>
      <c r="B706" s="1" t="s">
        <v>20</v>
      </c>
      <c r="C706" s="1" t="s">
        <v>21</v>
      </c>
      <c r="D706" s="1" t="s">
        <v>392</v>
      </c>
      <c r="E706" s="1">
        <v>34885</v>
      </c>
      <c r="F706" s="1">
        <v>127646</v>
      </c>
      <c r="G706" s="1">
        <f t="shared" si="70"/>
        <v>162531</v>
      </c>
      <c r="H706" s="1">
        <v>11219</v>
      </c>
      <c r="I706" s="1">
        <v>20</v>
      </c>
      <c r="J706" s="1">
        <v>146</v>
      </c>
      <c r="K706" s="1">
        <f t="shared" si="76"/>
        <v>1637974</v>
      </c>
      <c r="L706" s="1">
        <v>33</v>
      </c>
      <c r="M706" s="1">
        <f t="shared" si="74"/>
        <v>1267747</v>
      </c>
      <c r="N706" s="1">
        <f t="shared" si="75"/>
        <v>1105216</v>
      </c>
      <c r="O706" s="4">
        <f t="shared" si="71"/>
        <v>0.87179539766215186</v>
      </c>
      <c r="P706" s="4">
        <f t="shared" si="72"/>
        <v>29.20353982300885</v>
      </c>
      <c r="Q706" s="4">
        <f t="shared" si="73"/>
        <v>1.2210206022806223E-3</v>
      </c>
    </row>
    <row r="707" spans="1:17">
      <c r="A707" s="1" t="s">
        <v>364</v>
      </c>
      <c r="B707" s="1" t="s">
        <v>26</v>
      </c>
      <c r="C707" s="1" t="s">
        <v>29</v>
      </c>
      <c r="D707" s="1" t="s">
        <v>392</v>
      </c>
      <c r="E707" s="1">
        <v>43563</v>
      </c>
      <c r="F707" s="1">
        <v>78319</v>
      </c>
      <c r="G707" s="1">
        <f t="shared" ref="G707:G731" si="77">E707+F707</f>
        <v>121882</v>
      </c>
      <c r="H707" s="1">
        <v>51876</v>
      </c>
      <c r="I707" s="1">
        <v>15</v>
      </c>
      <c r="J707" s="1">
        <v>131</v>
      </c>
      <c r="K707" s="1">
        <f t="shared" si="76"/>
        <v>6795756</v>
      </c>
      <c r="L707" s="1">
        <v>4</v>
      </c>
      <c r="M707" s="1">
        <f t="shared" si="74"/>
        <v>6588252</v>
      </c>
      <c r="N707" s="1">
        <f t="shared" si="75"/>
        <v>6466370</v>
      </c>
      <c r="O707" s="4">
        <f t="shared" ref="O707:O731" si="78">SUM(N707/ABS(M707))</f>
        <v>0.98150010048188807</v>
      </c>
      <c r="P707" s="4">
        <f t="shared" ref="P707:P731" si="79">SUM(H707*L707)/M707*100</f>
        <v>3.1496062992125982</v>
      </c>
      <c r="Q707" s="4">
        <f t="shared" ref="Q707:Q731" si="80">I707/K707*100</f>
        <v>2.2072599428231383E-4</v>
      </c>
    </row>
    <row r="708" spans="1:17">
      <c r="A708" s="1" t="s">
        <v>365</v>
      </c>
      <c r="B708" s="1" t="s">
        <v>14</v>
      </c>
      <c r="C708" s="1" t="s">
        <v>15</v>
      </c>
      <c r="D708" s="1" t="s">
        <v>391</v>
      </c>
      <c r="E708" s="1">
        <v>40980</v>
      </c>
      <c r="F708" s="1">
        <v>233230</v>
      </c>
      <c r="G708" s="1">
        <f t="shared" si="77"/>
        <v>274210</v>
      </c>
      <c r="H708" s="1">
        <v>24647</v>
      </c>
      <c r="I708" s="1">
        <v>15</v>
      </c>
      <c r="J708" s="1">
        <v>83</v>
      </c>
      <c r="K708" s="1">
        <f t="shared" si="76"/>
        <v>2045701</v>
      </c>
      <c r="L708" s="1">
        <v>8</v>
      </c>
      <c r="M708" s="1">
        <f t="shared" ref="M708:M731" si="81">K708-H708*L708</f>
        <v>1848525</v>
      </c>
      <c r="N708" s="1">
        <f t="shared" ref="N708:N731" si="82">M708-G708</f>
        <v>1574315</v>
      </c>
      <c r="O708" s="4">
        <f t="shared" si="78"/>
        <v>0.85166010738291342</v>
      </c>
      <c r="P708" s="4">
        <f t="shared" si="79"/>
        <v>10.666666666666668</v>
      </c>
      <c r="Q708" s="4">
        <f t="shared" si="80"/>
        <v>7.3324498545975186E-4</v>
      </c>
    </row>
    <row r="709" spans="1:17">
      <c r="A709" s="1" t="s">
        <v>366</v>
      </c>
      <c r="B709" s="1" t="s">
        <v>26</v>
      </c>
      <c r="C709" s="1" t="s">
        <v>21</v>
      </c>
      <c r="D709" s="1" t="s">
        <v>392</v>
      </c>
      <c r="E709" s="1">
        <v>44910</v>
      </c>
      <c r="F709" s="1">
        <v>91967</v>
      </c>
      <c r="G709" s="1">
        <f t="shared" si="77"/>
        <v>136877</v>
      </c>
      <c r="H709" s="1">
        <v>31313</v>
      </c>
      <c r="I709" s="1">
        <v>5</v>
      </c>
      <c r="J709" s="1">
        <v>105</v>
      </c>
      <c r="K709" s="1">
        <f t="shared" ref="K709:K731" si="83">H709*J709</f>
        <v>3287865</v>
      </c>
      <c r="L709" s="1">
        <v>9</v>
      </c>
      <c r="M709" s="1">
        <f t="shared" si="81"/>
        <v>3006048</v>
      </c>
      <c r="N709" s="1">
        <f t="shared" si="82"/>
        <v>2869171</v>
      </c>
      <c r="O709" s="4">
        <f t="shared" si="78"/>
        <v>0.95446612961602739</v>
      </c>
      <c r="P709" s="4">
        <f t="shared" si="79"/>
        <v>9.375</v>
      </c>
      <c r="Q709" s="4">
        <f t="shared" si="80"/>
        <v>1.5207437045012493E-4</v>
      </c>
    </row>
    <row r="710" spans="1:17">
      <c r="A710" s="1" t="s">
        <v>367</v>
      </c>
      <c r="B710" s="1" t="s">
        <v>20</v>
      </c>
      <c r="C710" s="1" t="s">
        <v>21</v>
      </c>
      <c r="D710" s="1" t="s">
        <v>392</v>
      </c>
      <c r="E710" s="1">
        <v>49723</v>
      </c>
      <c r="F710" s="1">
        <v>268966</v>
      </c>
      <c r="G710" s="1">
        <f t="shared" si="77"/>
        <v>318689</v>
      </c>
      <c r="H710" s="1">
        <v>46907</v>
      </c>
      <c r="I710" s="1">
        <v>5</v>
      </c>
      <c r="J710" s="1">
        <v>38</v>
      </c>
      <c r="K710" s="1">
        <f t="shared" si="83"/>
        <v>1782466</v>
      </c>
      <c r="L710" s="1">
        <v>102</v>
      </c>
      <c r="M710" s="1">
        <f t="shared" si="81"/>
        <v>-3002048</v>
      </c>
      <c r="N710" s="1">
        <f t="shared" si="82"/>
        <v>-3320737</v>
      </c>
      <c r="O710" s="4">
        <f t="shared" si="78"/>
        <v>-1.1061571966870616</v>
      </c>
      <c r="P710" s="4">
        <f t="shared" si="79"/>
        <v>-159.375</v>
      </c>
      <c r="Q710" s="4">
        <f t="shared" si="80"/>
        <v>2.8051025938222667E-4</v>
      </c>
    </row>
    <row r="711" spans="1:17">
      <c r="A711" s="1" t="s">
        <v>368</v>
      </c>
      <c r="B711" s="1" t="s">
        <v>14</v>
      </c>
      <c r="C711" s="1" t="s">
        <v>18</v>
      </c>
      <c r="D711" s="1" t="s">
        <v>391</v>
      </c>
      <c r="E711" s="1">
        <v>35090</v>
      </c>
      <c r="F711" s="1">
        <v>269929</v>
      </c>
      <c r="G711" s="1">
        <f t="shared" si="77"/>
        <v>305019</v>
      </c>
      <c r="H711" s="1">
        <v>30186</v>
      </c>
      <c r="I711" s="1">
        <v>0</v>
      </c>
      <c r="J711" s="1">
        <v>132</v>
      </c>
      <c r="K711" s="1">
        <f t="shared" si="83"/>
        <v>3984552</v>
      </c>
      <c r="L711" s="1">
        <v>28</v>
      </c>
      <c r="M711" s="1">
        <f t="shared" si="81"/>
        <v>3139344</v>
      </c>
      <c r="N711" s="1">
        <f t="shared" si="82"/>
        <v>2834325</v>
      </c>
      <c r="O711" s="4">
        <f t="shared" si="78"/>
        <v>0.90283989266547404</v>
      </c>
      <c r="P711" s="4">
        <f t="shared" si="79"/>
        <v>26.923076923076923</v>
      </c>
      <c r="Q711" s="4">
        <f t="shared" si="80"/>
        <v>0</v>
      </c>
    </row>
    <row r="712" spans="1:17">
      <c r="A712" s="1" t="s">
        <v>369</v>
      </c>
      <c r="B712" s="1" t="s">
        <v>14</v>
      </c>
      <c r="C712" s="1" t="s">
        <v>29</v>
      </c>
      <c r="D712" s="1" t="s">
        <v>391</v>
      </c>
      <c r="E712" s="1">
        <v>25496</v>
      </c>
      <c r="F712" s="1">
        <v>295351</v>
      </c>
      <c r="G712" s="1">
        <f t="shared" si="77"/>
        <v>320847</v>
      </c>
      <c r="H712" s="1">
        <v>58695</v>
      </c>
      <c r="I712" s="1">
        <v>20</v>
      </c>
      <c r="J712" s="1">
        <v>51</v>
      </c>
      <c r="K712" s="1">
        <f t="shared" si="83"/>
        <v>2993445</v>
      </c>
      <c r="L712" s="1">
        <v>5</v>
      </c>
      <c r="M712" s="1">
        <f t="shared" si="81"/>
        <v>2699970</v>
      </c>
      <c r="N712" s="1">
        <f t="shared" si="82"/>
        <v>2379123</v>
      </c>
      <c r="O712" s="4">
        <f t="shared" si="78"/>
        <v>0.88116645740508226</v>
      </c>
      <c r="P712" s="4">
        <f t="shared" si="79"/>
        <v>10.869565217391305</v>
      </c>
      <c r="Q712" s="4">
        <f t="shared" si="80"/>
        <v>6.681265231196831E-4</v>
      </c>
    </row>
    <row r="713" spans="1:17">
      <c r="A713" s="1" t="s">
        <v>370</v>
      </c>
      <c r="B713" s="1" t="s">
        <v>26</v>
      </c>
      <c r="C713" s="1" t="s">
        <v>29</v>
      </c>
      <c r="D713" s="1" t="s">
        <v>391</v>
      </c>
      <c r="E713" s="1">
        <v>18701</v>
      </c>
      <c r="F713" s="1">
        <v>304978</v>
      </c>
      <c r="G713" s="1">
        <f t="shared" si="77"/>
        <v>323679</v>
      </c>
      <c r="H713" s="1">
        <v>81488</v>
      </c>
      <c r="I713" s="1">
        <v>20</v>
      </c>
      <c r="J713" s="1">
        <v>21</v>
      </c>
      <c r="K713" s="1">
        <f t="shared" si="83"/>
        <v>1711248</v>
      </c>
      <c r="L713" s="1">
        <v>16</v>
      </c>
      <c r="M713" s="1">
        <f t="shared" si="81"/>
        <v>407440</v>
      </c>
      <c r="N713" s="1">
        <f t="shared" si="82"/>
        <v>83761</v>
      </c>
      <c r="O713" s="4">
        <f t="shared" si="78"/>
        <v>0.20557873551934028</v>
      </c>
      <c r="P713" s="4">
        <f t="shared" si="79"/>
        <v>320</v>
      </c>
      <c r="Q713" s="4">
        <f t="shared" si="80"/>
        <v>1.1687376698175835E-3</v>
      </c>
    </row>
    <row r="714" spans="1:17">
      <c r="A714" s="1" t="s">
        <v>371</v>
      </c>
      <c r="B714" s="1" t="s">
        <v>20</v>
      </c>
      <c r="C714" s="1" t="s">
        <v>29</v>
      </c>
      <c r="D714" s="1" t="s">
        <v>392</v>
      </c>
      <c r="E714" s="1">
        <v>17768</v>
      </c>
      <c r="F714" s="1">
        <v>215847</v>
      </c>
      <c r="G714" s="1">
        <f t="shared" si="77"/>
        <v>233615</v>
      </c>
      <c r="H714" s="1">
        <v>69114</v>
      </c>
      <c r="I714" s="1">
        <v>10</v>
      </c>
      <c r="J714" s="1">
        <v>124</v>
      </c>
      <c r="K714" s="1">
        <f t="shared" si="83"/>
        <v>8570136</v>
      </c>
      <c r="L714" s="1">
        <v>34</v>
      </c>
      <c r="M714" s="1">
        <f t="shared" si="81"/>
        <v>6220260</v>
      </c>
      <c r="N714" s="1">
        <f t="shared" si="82"/>
        <v>5986645</v>
      </c>
      <c r="O714" s="4">
        <f t="shared" si="78"/>
        <v>0.96244288823939839</v>
      </c>
      <c r="P714" s="4">
        <f t="shared" si="79"/>
        <v>37.777777777777779</v>
      </c>
      <c r="Q714" s="4">
        <f t="shared" si="80"/>
        <v>1.166842626534748E-4</v>
      </c>
    </row>
    <row r="715" spans="1:17">
      <c r="A715" s="1" t="s">
        <v>372</v>
      </c>
      <c r="B715" s="1" t="s">
        <v>17</v>
      </c>
      <c r="C715" s="1" t="s">
        <v>21</v>
      </c>
      <c r="D715" s="1" t="s">
        <v>391</v>
      </c>
      <c r="E715" s="1">
        <v>11244</v>
      </c>
      <c r="F715" s="1">
        <v>232022</v>
      </c>
      <c r="G715" s="1">
        <f t="shared" si="77"/>
        <v>243266</v>
      </c>
      <c r="H715" s="1">
        <v>74601</v>
      </c>
      <c r="I715" s="1">
        <v>0</v>
      </c>
      <c r="J715" s="1">
        <v>13</v>
      </c>
      <c r="K715" s="1">
        <f t="shared" si="83"/>
        <v>969813</v>
      </c>
      <c r="L715" s="1">
        <v>38</v>
      </c>
      <c r="M715" s="1">
        <f t="shared" si="81"/>
        <v>-1865025</v>
      </c>
      <c r="N715" s="1">
        <f t="shared" si="82"/>
        <v>-2108291</v>
      </c>
      <c r="O715" s="4">
        <f t="shared" si="78"/>
        <v>-1.1304357850430959</v>
      </c>
      <c r="P715" s="4">
        <f t="shared" si="79"/>
        <v>-152</v>
      </c>
      <c r="Q715" s="4">
        <f t="shared" si="80"/>
        <v>0</v>
      </c>
    </row>
    <row r="716" spans="1:17">
      <c r="A716" s="1" t="s">
        <v>373</v>
      </c>
      <c r="B716" s="1" t="s">
        <v>20</v>
      </c>
      <c r="C716" s="1" t="s">
        <v>15</v>
      </c>
      <c r="D716" s="1" t="s">
        <v>392</v>
      </c>
      <c r="E716" s="1">
        <v>45361</v>
      </c>
      <c r="F716" s="1">
        <v>277275</v>
      </c>
      <c r="G716" s="1">
        <f t="shared" si="77"/>
        <v>322636</v>
      </c>
      <c r="H716" s="1">
        <v>84146</v>
      </c>
      <c r="I716" s="1">
        <v>5</v>
      </c>
      <c r="J716" s="1">
        <v>97</v>
      </c>
      <c r="K716" s="1">
        <f t="shared" si="83"/>
        <v>8162162</v>
      </c>
      <c r="L716" s="1">
        <v>14</v>
      </c>
      <c r="M716" s="1">
        <f t="shared" si="81"/>
        <v>6984118</v>
      </c>
      <c r="N716" s="1">
        <f t="shared" si="82"/>
        <v>6661482</v>
      </c>
      <c r="O716" s="4">
        <f t="shared" si="78"/>
        <v>0.95380433148466282</v>
      </c>
      <c r="P716" s="4">
        <f t="shared" si="79"/>
        <v>16.867469879518072</v>
      </c>
      <c r="Q716" s="4">
        <f t="shared" si="80"/>
        <v>6.1258279362747266E-5</v>
      </c>
    </row>
    <row r="717" spans="1:17">
      <c r="A717" s="1" t="s">
        <v>374</v>
      </c>
      <c r="B717" s="1" t="s">
        <v>17</v>
      </c>
      <c r="C717" s="1" t="s">
        <v>18</v>
      </c>
      <c r="D717" s="1" t="s">
        <v>391</v>
      </c>
      <c r="E717" s="1">
        <v>41635</v>
      </c>
      <c r="F717" s="1">
        <v>304049</v>
      </c>
      <c r="G717" s="1">
        <f t="shared" si="77"/>
        <v>345684</v>
      </c>
      <c r="H717" s="1">
        <v>32044</v>
      </c>
      <c r="I717" s="1">
        <v>5</v>
      </c>
      <c r="J717" s="1">
        <v>103</v>
      </c>
      <c r="K717" s="1">
        <f t="shared" si="83"/>
        <v>3300532</v>
      </c>
      <c r="L717" s="1">
        <v>10</v>
      </c>
      <c r="M717" s="1">
        <f t="shared" si="81"/>
        <v>2980092</v>
      </c>
      <c r="N717" s="1">
        <f t="shared" si="82"/>
        <v>2634408</v>
      </c>
      <c r="O717" s="4">
        <f t="shared" si="78"/>
        <v>0.88400223885705542</v>
      </c>
      <c r="P717" s="4">
        <f t="shared" si="79"/>
        <v>10.75268817204301</v>
      </c>
      <c r="Q717" s="4">
        <f t="shared" si="80"/>
        <v>1.5149072937332527E-4</v>
      </c>
    </row>
    <row r="718" spans="1:17">
      <c r="A718" s="1" t="s">
        <v>375</v>
      </c>
      <c r="B718" s="1" t="s">
        <v>20</v>
      </c>
      <c r="C718" s="1" t="s">
        <v>15</v>
      </c>
      <c r="D718" s="1" t="s">
        <v>392</v>
      </c>
      <c r="E718" s="1">
        <v>17201</v>
      </c>
      <c r="F718" s="1">
        <v>155295</v>
      </c>
      <c r="G718" s="1">
        <f t="shared" si="77"/>
        <v>172496</v>
      </c>
      <c r="H718" s="1">
        <v>52814</v>
      </c>
      <c r="I718" s="1">
        <v>20</v>
      </c>
      <c r="J718" s="1">
        <v>138</v>
      </c>
      <c r="K718" s="1">
        <f t="shared" si="83"/>
        <v>7288332</v>
      </c>
      <c r="L718" s="1">
        <v>5</v>
      </c>
      <c r="M718" s="1">
        <f t="shared" si="81"/>
        <v>7024262</v>
      </c>
      <c r="N718" s="1">
        <f t="shared" si="82"/>
        <v>6851766</v>
      </c>
      <c r="O718" s="4">
        <f t="shared" si="78"/>
        <v>0.97544282943887917</v>
      </c>
      <c r="P718" s="4">
        <f t="shared" si="79"/>
        <v>3.7593984962406015</v>
      </c>
      <c r="Q718" s="4">
        <f t="shared" si="80"/>
        <v>2.744112095881472E-4</v>
      </c>
    </row>
    <row r="719" spans="1:17">
      <c r="A719" s="1" t="s">
        <v>376</v>
      </c>
      <c r="B719" s="1" t="s">
        <v>14</v>
      </c>
      <c r="C719" s="1" t="s">
        <v>18</v>
      </c>
      <c r="D719" s="1" t="s">
        <v>391</v>
      </c>
      <c r="E719" s="1">
        <v>13422</v>
      </c>
      <c r="F719" s="1">
        <v>249389</v>
      </c>
      <c r="G719" s="1">
        <f t="shared" si="77"/>
        <v>262811</v>
      </c>
      <c r="H719" s="1">
        <v>34041</v>
      </c>
      <c r="I719" s="1">
        <v>20</v>
      </c>
      <c r="J719" s="1">
        <v>44</v>
      </c>
      <c r="K719" s="1">
        <f t="shared" si="83"/>
        <v>1497804</v>
      </c>
      <c r="L719" s="1">
        <v>5</v>
      </c>
      <c r="M719" s="1">
        <f t="shared" si="81"/>
        <v>1327599</v>
      </c>
      <c r="N719" s="1">
        <f t="shared" si="82"/>
        <v>1064788</v>
      </c>
      <c r="O719" s="4">
        <f t="shared" si="78"/>
        <v>0.80204037514339799</v>
      </c>
      <c r="P719" s="4">
        <f t="shared" si="79"/>
        <v>12.820512820512819</v>
      </c>
      <c r="Q719" s="4">
        <f t="shared" si="80"/>
        <v>1.3352881952511811E-3</v>
      </c>
    </row>
    <row r="720" spans="1:17">
      <c r="A720" s="1" t="s">
        <v>377</v>
      </c>
      <c r="B720" s="1" t="s">
        <v>17</v>
      </c>
      <c r="C720" s="1" t="s">
        <v>21</v>
      </c>
      <c r="D720" s="1" t="s">
        <v>392</v>
      </c>
      <c r="E720" s="1">
        <v>16734</v>
      </c>
      <c r="F720" s="1">
        <v>213985</v>
      </c>
      <c r="G720" s="1">
        <f t="shared" si="77"/>
        <v>230719</v>
      </c>
      <c r="H720" s="1">
        <v>54674</v>
      </c>
      <c r="I720" s="1">
        <v>20</v>
      </c>
      <c r="J720" s="1">
        <v>89</v>
      </c>
      <c r="K720" s="1">
        <f t="shared" si="83"/>
        <v>4865986</v>
      </c>
      <c r="L720" s="1">
        <v>9</v>
      </c>
      <c r="M720" s="1">
        <f t="shared" si="81"/>
        <v>4373920</v>
      </c>
      <c r="N720" s="1">
        <f t="shared" si="82"/>
        <v>4143201</v>
      </c>
      <c r="O720" s="4">
        <f t="shared" si="78"/>
        <v>0.94725120715513778</v>
      </c>
      <c r="P720" s="4">
        <f t="shared" si="79"/>
        <v>11.25</v>
      </c>
      <c r="Q720" s="4">
        <f t="shared" si="80"/>
        <v>4.1101639010058806E-4</v>
      </c>
    </row>
    <row r="721" spans="1:17">
      <c r="A721" s="1" t="s">
        <v>378</v>
      </c>
      <c r="B721" s="1" t="s">
        <v>17</v>
      </c>
      <c r="C721" s="1" t="s">
        <v>18</v>
      </c>
      <c r="D721" s="1" t="s">
        <v>392</v>
      </c>
      <c r="E721" s="1">
        <v>9451</v>
      </c>
      <c r="F721" s="1">
        <v>345348</v>
      </c>
      <c r="G721" s="1">
        <f t="shared" si="77"/>
        <v>354799</v>
      </c>
      <c r="H721" s="1">
        <v>53938</v>
      </c>
      <c r="I721" s="1">
        <v>10</v>
      </c>
      <c r="J721" s="1">
        <v>86</v>
      </c>
      <c r="K721" s="1">
        <f t="shared" si="83"/>
        <v>4638668</v>
      </c>
      <c r="L721" s="1">
        <v>27</v>
      </c>
      <c r="M721" s="1">
        <f t="shared" si="81"/>
        <v>3182342</v>
      </c>
      <c r="N721" s="1">
        <f t="shared" si="82"/>
        <v>2827543</v>
      </c>
      <c r="O721" s="4">
        <f t="shared" si="78"/>
        <v>0.8885100972805563</v>
      </c>
      <c r="P721" s="4">
        <f t="shared" si="79"/>
        <v>45.762711864406782</v>
      </c>
      <c r="Q721" s="4">
        <f t="shared" si="80"/>
        <v>2.1557912745641638E-4</v>
      </c>
    </row>
    <row r="722" spans="1:17">
      <c r="A722" s="1" t="s">
        <v>379</v>
      </c>
      <c r="B722" s="1" t="s">
        <v>20</v>
      </c>
      <c r="C722" s="1" t="s">
        <v>122</v>
      </c>
      <c r="D722" s="1" t="s">
        <v>392</v>
      </c>
      <c r="E722" s="1">
        <v>14615</v>
      </c>
      <c r="F722" s="1">
        <v>190990</v>
      </c>
      <c r="G722" s="1">
        <f t="shared" si="77"/>
        <v>205605</v>
      </c>
      <c r="H722" s="1">
        <v>56510</v>
      </c>
      <c r="I722" s="1">
        <v>15</v>
      </c>
      <c r="J722" s="1">
        <v>26</v>
      </c>
      <c r="K722" s="1">
        <f t="shared" si="83"/>
        <v>1469260</v>
      </c>
      <c r="L722" s="1">
        <v>4</v>
      </c>
      <c r="M722" s="1">
        <f t="shared" si="81"/>
        <v>1243220</v>
      </c>
      <c r="N722" s="1">
        <f t="shared" si="82"/>
        <v>1037615</v>
      </c>
      <c r="O722" s="4">
        <f t="shared" si="78"/>
        <v>0.83461897331124013</v>
      </c>
      <c r="P722" s="4">
        <f t="shared" si="79"/>
        <v>18.181818181818183</v>
      </c>
      <c r="Q722" s="4">
        <f t="shared" si="80"/>
        <v>1.020922096837864E-3</v>
      </c>
    </row>
    <row r="723" spans="1:17">
      <c r="A723" s="1" t="s">
        <v>380</v>
      </c>
      <c r="B723" s="1" t="s">
        <v>20</v>
      </c>
      <c r="C723" s="1" t="s">
        <v>29</v>
      </c>
      <c r="D723" s="1" t="s">
        <v>391</v>
      </c>
      <c r="E723" s="1">
        <v>46387</v>
      </c>
      <c r="F723" s="1">
        <v>150807</v>
      </c>
      <c r="G723" s="1">
        <f t="shared" si="77"/>
        <v>197194</v>
      </c>
      <c r="H723" s="1">
        <v>20109</v>
      </c>
      <c r="I723" s="1">
        <v>0</v>
      </c>
      <c r="J723" s="1">
        <v>123</v>
      </c>
      <c r="K723" s="1">
        <f t="shared" si="83"/>
        <v>2473407</v>
      </c>
      <c r="L723" s="1">
        <v>16</v>
      </c>
      <c r="M723" s="1">
        <f t="shared" si="81"/>
        <v>2151663</v>
      </c>
      <c r="N723" s="1">
        <f t="shared" si="82"/>
        <v>1954469</v>
      </c>
      <c r="O723" s="4">
        <f t="shared" si="78"/>
        <v>0.90835274854844839</v>
      </c>
      <c r="P723" s="4">
        <f t="shared" si="79"/>
        <v>14.953271028037381</v>
      </c>
      <c r="Q723" s="4">
        <f t="shared" si="80"/>
        <v>0</v>
      </c>
    </row>
    <row r="724" spans="1:17">
      <c r="A724" s="1" t="s">
        <v>381</v>
      </c>
      <c r="B724" s="1" t="s">
        <v>26</v>
      </c>
      <c r="C724" s="1" t="s">
        <v>21</v>
      </c>
      <c r="D724" s="1" t="s">
        <v>391</v>
      </c>
      <c r="E724" s="1">
        <v>17370</v>
      </c>
      <c r="F724" s="1">
        <v>63568</v>
      </c>
      <c r="G724" s="1">
        <f t="shared" si="77"/>
        <v>80938</v>
      </c>
      <c r="H724" s="1">
        <v>10765</v>
      </c>
      <c r="I724" s="1">
        <v>15</v>
      </c>
      <c r="J724" s="1">
        <v>81</v>
      </c>
      <c r="K724" s="1">
        <f t="shared" si="83"/>
        <v>871965</v>
      </c>
      <c r="L724" s="1">
        <v>27</v>
      </c>
      <c r="M724" s="1">
        <f t="shared" si="81"/>
        <v>581310</v>
      </c>
      <c r="N724" s="1">
        <f t="shared" si="82"/>
        <v>500372</v>
      </c>
      <c r="O724" s="4">
        <f t="shared" si="78"/>
        <v>0.86076620047823016</v>
      </c>
      <c r="P724" s="4">
        <f t="shared" si="79"/>
        <v>50</v>
      </c>
      <c r="Q724" s="4">
        <f t="shared" si="80"/>
        <v>1.7202525330718551E-3</v>
      </c>
    </row>
    <row r="725" spans="1:17">
      <c r="A725" s="1" t="s">
        <v>382</v>
      </c>
      <c r="B725" s="1" t="s">
        <v>14</v>
      </c>
      <c r="C725" s="1" t="s">
        <v>15</v>
      </c>
      <c r="D725" s="1" t="s">
        <v>391</v>
      </c>
      <c r="E725" s="1">
        <v>30017</v>
      </c>
      <c r="F725" s="1">
        <v>397757</v>
      </c>
      <c r="G725" s="1">
        <f t="shared" si="77"/>
        <v>427774</v>
      </c>
      <c r="H725" s="1">
        <v>48782</v>
      </c>
      <c r="I725" s="1">
        <v>0</v>
      </c>
      <c r="J725" s="1">
        <v>33</v>
      </c>
      <c r="K725" s="1">
        <f t="shared" si="83"/>
        <v>1609806</v>
      </c>
      <c r="L725" s="1">
        <v>5</v>
      </c>
      <c r="M725" s="1">
        <f t="shared" si="81"/>
        <v>1365896</v>
      </c>
      <c r="N725" s="1">
        <f t="shared" si="82"/>
        <v>938122</v>
      </c>
      <c r="O725" s="4">
        <f t="shared" si="78"/>
        <v>0.68681803006963926</v>
      </c>
      <c r="P725" s="4">
        <f t="shared" si="79"/>
        <v>17.857142857142858</v>
      </c>
      <c r="Q725" s="4">
        <f t="shared" si="80"/>
        <v>0</v>
      </c>
    </row>
    <row r="726" spans="1:17">
      <c r="A726" s="1" t="s">
        <v>383</v>
      </c>
      <c r="B726" s="1" t="s">
        <v>20</v>
      </c>
      <c r="C726" s="1" t="s">
        <v>15</v>
      </c>
      <c r="D726" s="1" t="s">
        <v>392</v>
      </c>
      <c r="E726" s="1">
        <v>27675</v>
      </c>
      <c r="F726" s="1">
        <v>128543</v>
      </c>
      <c r="G726" s="1">
        <f t="shared" si="77"/>
        <v>156218</v>
      </c>
      <c r="H726" s="1">
        <v>58521</v>
      </c>
      <c r="I726" s="1">
        <v>0</v>
      </c>
      <c r="J726" s="1">
        <v>104</v>
      </c>
      <c r="K726" s="1">
        <f t="shared" si="83"/>
        <v>6086184</v>
      </c>
      <c r="L726" s="1">
        <v>33</v>
      </c>
      <c r="M726" s="1">
        <f t="shared" si="81"/>
        <v>4154991</v>
      </c>
      <c r="N726" s="1">
        <f t="shared" si="82"/>
        <v>3998773</v>
      </c>
      <c r="O726" s="4">
        <f t="shared" si="78"/>
        <v>0.96240232529986225</v>
      </c>
      <c r="P726" s="4">
        <f t="shared" si="79"/>
        <v>46.478873239436616</v>
      </c>
      <c r="Q726" s="4">
        <f t="shared" si="80"/>
        <v>0</v>
      </c>
    </row>
    <row r="727" spans="1:17">
      <c r="A727" s="1" t="s">
        <v>384</v>
      </c>
      <c r="B727" s="1" t="s">
        <v>26</v>
      </c>
      <c r="C727" s="1" t="s">
        <v>18</v>
      </c>
      <c r="D727" s="1" t="s">
        <v>391</v>
      </c>
      <c r="E727" s="1">
        <v>34071</v>
      </c>
      <c r="F727" s="1">
        <v>186868</v>
      </c>
      <c r="G727" s="1">
        <f t="shared" si="77"/>
        <v>220939</v>
      </c>
      <c r="H727" s="1">
        <v>59064</v>
      </c>
      <c r="I727" s="1">
        <v>5</v>
      </c>
      <c r="J727" s="1">
        <v>104</v>
      </c>
      <c r="K727" s="1">
        <f t="shared" si="83"/>
        <v>6142656</v>
      </c>
      <c r="L727" s="1">
        <v>18</v>
      </c>
      <c r="M727" s="1">
        <f t="shared" si="81"/>
        <v>5079504</v>
      </c>
      <c r="N727" s="1">
        <f t="shared" si="82"/>
        <v>4858565</v>
      </c>
      <c r="O727" s="4">
        <f t="shared" si="78"/>
        <v>0.95650382399541367</v>
      </c>
      <c r="P727" s="4">
        <f t="shared" si="79"/>
        <v>20.930232558139537</v>
      </c>
      <c r="Q727" s="4">
        <f t="shared" si="80"/>
        <v>8.1398014148928417E-5</v>
      </c>
    </row>
    <row r="728" spans="1:17">
      <c r="A728" s="1" t="s">
        <v>385</v>
      </c>
      <c r="B728" s="1" t="s">
        <v>26</v>
      </c>
      <c r="C728" s="1" t="s">
        <v>29</v>
      </c>
      <c r="D728" s="1" t="s">
        <v>392</v>
      </c>
      <c r="E728" s="1">
        <v>19318</v>
      </c>
      <c r="F728" s="1">
        <v>318044</v>
      </c>
      <c r="G728" s="1">
        <f t="shared" si="77"/>
        <v>337362</v>
      </c>
      <c r="H728" s="1">
        <v>71995</v>
      </c>
      <c r="I728" s="1">
        <v>15</v>
      </c>
      <c r="J728" s="1">
        <v>108</v>
      </c>
      <c r="K728" s="1">
        <f t="shared" si="83"/>
        <v>7775460</v>
      </c>
      <c r="L728" s="1">
        <v>34</v>
      </c>
      <c r="M728" s="1">
        <f t="shared" si="81"/>
        <v>5327630</v>
      </c>
      <c r="N728" s="1">
        <f t="shared" si="82"/>
        <v>4990268</v>
      </c>
      <c r="O728" s="4">
        <f t="shared" si="78"/>
        <v>0.93667690886942223</v>
      </c>
      <c r="P728" s="4">
        <f t="shared" si="79"/>
        <v>45.945945945945951</v>
      </c>
      <c r="Q728" s="4">
        <f t="shared" si="80"/>
        <v>1.9291463141730522E-4</v>
      </c>
    </row>
    <row r="729" spans="1:17">
      <c r="A729" s="1" t="s">
        <v>386</v>
      </c>
      <c r="B729" s="1" t="s">
        <v>26</v>
      </c>
      <c r="C729" s="1" t="s">
        <v>15</v>
      </c>
      <c r="D729" s="1" t="s">
        <v>391</v>
      </c>
      <c r="E729" s="1">
        <v>40002</v>
      </c>
      <c r="F729" s="1">
        <v>229439</v>
      </c>
      <c r="G729" s="1">
        <f t="shared" si="77"/>
        <v>269441</v>
      </c>
      <c r="H729" s="1">
        <v>63099</v>
      </c>
      <c r="I729" s="1">
        <v>15</v>
      </c>
      <c r="J729" s="1">
        <v>76</v>
      </c>
      <c r="K729" s="1">
        <f t="shared" si="83"/>
        <v>4795524</v>
      </c>
      <c r="L729" s="1">
        <v>23</v>
      </c>
      <c r="M729" s="1">
        <f t="shared" si="81"/>
        <v>3344247</v>
      </c>
      <c r="N729" s="1">
        <f t="shared" si="82"/>
        <v>3074806</v>
      </c>
      <c r="O729" s="4">
        <f t="shared" si="78"/>
        <v>0.9194314893606842</v>
      </c>
      <c r="P729" s="4">
        <f t="shared" si="79"/>
        <v>43.39622641509434</v>
      </c>
      <c r="Q729" s="4">
        <f t="shared" si="80"/>
        <v>3.1279167823995875E-4</v>
      </c>
    </row>
    <row r="730" spans="1:17">
      <c r="A730" s="1" t="s">
        <v>387</v>
      </c>
      <c r="B730" s="1" t="s">
        <v>26</v>
      </c>
      <c r="C730" s="1" t="s">
        <v>15</v>
      </c>
      <c r="D730" s="1" t="s">
        <v>391</v>
      </c>
      <c r="E730" s="1">
        <v>38906</v>
      </c>
      <c r="F730" s="1">
        <v>336316</v>
      </c>
      <c r="G730" s="1">
        <f t="shared" si="77"/>
        <v>375222</v>
      </c>
      <c r="H730" s="1">
        <v>32661</v>
      </c>
      <c r="I730" s="1">
        <v>20</v>
      </c>
      <c r="J730" s="1">
        <v>127</v>
      </c>
      <c r="K730" s="1">
        <f t="shared" si="83"/>
        <v>4147947</v>
      </c>
      <c r="L730" s="1">
        <v>30</v>
      </c>
      <c r="M730" s="1">
        <f t="shared" si="81"/>
        <v>3168117</v>
      </c>
      <c r="N730" s="1">
        <f t="shared" si="82"/>
        <v>2792895</v>
      </c>
      <c r="O730" s="4">
        <f t="shared" si="78"/>
        <v>0.88156308621177815</v>
      </c>
      <c r="P730" s="4">
        <f t="shared" si="79"/>
        <v>30.927835051546392</v>
      </c>
      <c r="Q730" s="4">
        <f t="shared" si="80"/>
        <v>4.8216623790033964E-4</v>
      </c>
    </row>
    <row r="731" spans="1:17">
      <c r="A731" s="1" t="s">
        <v>388</v>
      </c>
      <c r="B731" s="1" t="s">
        <v>20</v>
      </c>
      <c r="C731" s="1" t="s">
        <v>29</v>
      </c>
      <c r="D731" s="1" t="s">
        <v>391</v>
      </c>
      <c r="E731" s="1">
        <v>39646</v>
      </c>
      <c r="F731" s="1">
        <v>172405</v>
      </c>
      <c r="G731" s="1">
        <f t="shared" si="77"/>
        <v>212051</v>
      </c>
      <c r="H731" s="1">
        <v>15228</v>
      </c>
      <c r="I731" s="1">
        <v>20</v>
      </c>
      <c r="J731" s="1">
        <v>51</v>
      </c>
      <c r="K731" s="1">
        <f t="shared" si="83"/>
        <v>776628</v>
      </c>
      <c r="L731" s="1">
        <v>37</v>
      </c>
      <c r="M731" s="1">
        <f t="shared" si="81"/>
        <v>213192</v>
      </c>
      <c r="N731" s="1">
        <f t="shared" si="82"/>
        <v>1141</v>
      </c>
      <c r="O731" s="4">
        <f t="shared" si="78"/>
        <v>5.3519831888626211E-3</v>
      </c>
      <c r="P731" s="4">
        <f t="shared" si="79"/>
        <v>264.28571428571428</v>
      </c>
      <c r="Q731" s="4">
        <f t="shared" si="80"/>
        <v>2.5752355052869585E-3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Lucifer Morningstar</dc:creator>
  <cp:lastModifiedBy>Lenovo</cp:lastModifiedBy>
  <dcterms:created xsi:type="dcterms:W3CDTF">2026-02-19T09:34:05Z</dcterms:created>
  <dcterms:modified xsi:type="dcterms:W3CDTF">2026-02-20T10:19:10Z</dcterms:modified>
</cp:coreProperties>
</file>